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nrique\OneDrive\Seminario de Integración y Aplicación\ANÁLISIS DE RIESGO EN OPERACIONES GARANTIZADAS\Datos Mercado Tesis\"/>
    </mc:Choice>
  </mc:AlternateContent>
  <xr:revisionPtr revIDLastSave="0" documentId="13_ncr:1_{F6C4FE68-AC7E-4BA8-AE5F-3175B9571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" i="1" l="1"/>
  <c r="U13" i="1"/>
  <c r="U14" i="1"/>
  <c r="U15" i="1"/>
  <c r="U11" i="1" l="1"/>
</calcChain>
</file>

<file path=xl/sharedStrings.xml><?xml version="1.0" encoding="utf-8"?>
<sst xmlns="http://schemas.openxmlformats.org/spreadsheetml/2006/main" count="1752" uniqueCount="334">
  <si>
    <t>date</t>
  </si>
  <si>
    <t>open</t>
  </si>
  <si>
    <t>high</t>
  </si>
  <si>
    <t>low</t>
  </si>
  <si>
    <t>close</t>
  </si>
  <si>
    <t>volume</t>
  </si>
  <si>
    <t>ticker</t>
  </si>
  <si>
    <t>cupo</t>
  </si>
  <si>
    <t>aforo</t>
  </si>
  <si>
    <t>Variación</t>
  </si>
  <si>
    <t>pérdida</t>
  </si>
  <si>
    <t>A2E2</t>
  </si>
  <si>
    <t>$50.000.000</t>
  </si>
  <si>
    <t>A2E7</t>
  </si>
  <si>
    <t>A2E8</t>
  </si>
  <si>
    <t>$35.000.000</t>
  </si>
  <si>
    <t>A2M2</t>
  </si>
  <si>
    <t>AA22</t>
  </si>
  <si>
    <t>AA25</t>
  </si>
  <si>
    <t>AA26</t>
  </si>
  <si>
    <t>AA37</t>
  </si>
  <si>
    <t>AA46</t>
  </si>
  <si>
    <t>AAP</t>
  </si>
  <si>
    <t>$700.000.000</t>
  </si>
  <si>
    <t>AAPL</t>
  </si>
  <si>
    <t>$80.000.000</t>
  </si>
  <si>
    <t>$150.000.000</t>
  </si>
  <si>
    <t>ABEV</t>
  </si>
  <si>
    <t>ABNB</t>
  </si>
  <si>
    <t>ABT</t>
  </si>
  <si>
    <t>AC17</t>
  </si>
  <si>
    <t>ADBE</t>
  </si>
  <si>
    <t>ADGO</t>
  </si>
  <si>
    <t>ADI</t>
  </si>
  <si>
    <t>ADP</t>
  </si>
  <si>
    <t>AE48</t>
  </si>
  <si>
    <t>$9.000.000</t>
  </si>
  <si>
    <t>AEM</t>
  </si>
  <si>
    <t>AGRO</t>
  </si>
  <si>
    <t>$8.000.000</t>
  </si>
  <si>
    <t>AIG</t>
  </si>
  <si>
    <t>AL30</t>
  </si>
  <si>
    <t>AM20</t>
  </si>
  <si>
    <t>AMD</t>
  </si>
  <si>
    <t>AMGN</t>
  </si>
  <si>
    <t>AMZN</t>
  </si>
  <si>
    <t>AO20</t>
  </si>
  <si>
    <t>ARCO</t>
  </si>
  <si>
    <t>ASR</t>
  </si>
  <si>
    <t>AUY</t>
  </si>
  <si>
    <t>AVY</t>
  </si>
  <si>
    <t>AXP</t>
  </si>
  <si>
    <t>AY24</t>
  </si>
  <si>
    <t>AZN</t>
  </si>
  <si>
    <t>BA</t>
  </si>
  <si>
    <t>BA.C</t>
  </si>
  <si>
    <t>BABA</t>
  </si>
  <si>
    <t>BAC</t>
  </si>
  <si>
    <t>BAY23</t>
  </si>
  <si>
    <t>BB</t>
  </si>
  <si>
    <t>BBAR</t>
  </si>
  <si>
    <t>BBD</t>
  </si>
  <si>
    <t>BBV</t>
  </si>
  <si>
    <t>BCS</t>
  </si>
  <si>
    <t>BD2C0</t>
  </si>
  <si>
    <t>$4.000.000</t>
  </si>
  <si>
    <t>BD2C9</t>
  </si>
  <si>
    <t>$18.000.000</t>
  </si>
  <si>
    <t>BD3C0</t>
  </si>
  <si>
    <t>BDC19</t>
  </si>
  <si>
    <t>BDC20</t>
  </si>
  <si>
    <t>BDC22</t>
  </si>
  <si>
    <t>BDC24</t>
  </si>
  <si>
    <t>BDC28</t>
  </si>
  <si>
    <t>BHP</t>
  </si>
  <si>
    <t>BIDU</t>
  </si>
  <si>
    <t>BIIB</t>
  </si>
  <si>
    <t>BIOX</t>
  </si>
  <si>
    <t>$100.000.000</t>
  </si>
  <si>
    <t>BIOXD</t>
  </si>
  <si>
    <t>BMA</t>
  </si>
  <si>
    <t>BMY</t>
  </si>
  <si>
    <t>BNG</t>
  </si>
  <si>
    <t>BNY22</t>
  </si>
  <si>
    <t>BP</t>
  </si>
  <si>
    <t>BP21</t>
  </si>
  <si>
    <t>BP28</t>
  </si>
  <si>
    <t>BPMD</t>
  </si>
  <si>
    <t>BRFS</t>
  </si>
  <si>
    <t>BSBR</t>
  </si>
  <si>
    <t>CAH</t>
  </si>
  <si>
    <t>CAR</t>
  </si>
  <si>
    <t>CAT</t>
  </si>
  <si>
    <t>CBRD</t>
  </si>
  <si>
    <t>CDE</t>
  </si>
  <si>
    <t>CEPU</t>
  </si>
  <si>
    <t>CL</t>
  </si>
  <si>
    <t>CO23</t>
  </si>
  <si>
    <t>$30.000.000</t>
  </si>
  <si>
    <t>CO26</t>
  </si>
  <si>
    <t>$400.000.000</t>
  </si>
  <si>
    <t>COIN</t>
  </si>
  <si>
    <t>COME</t>
  </si>
  <si>
    <t>COST</t>
  </si>
  <si>
    <t>CRCEO</t>
  </si>
  <si>
    <t>CRES</t>
  </si>
  <si>
    <t>CRM</t>
  </si>
  <si>
    <t>CS34O</t>
  </si>
  <si>
    <t>CSDOO</t>
  </si>
  <si>
    <t>CVH</t>
  </si>
  <si>
    <t>CVS</t>
  </si>
  <si>
    <t>CVX</t>
  </si>
  <si>
    <t>CX</t>
  </si>
  <si>
    <t>DD</t>
  </si>
  <si>
    <t>DE</t>
  </si>
  <si>
    <t>DEO</t>
  </si>
  <si>
    <t>DGCU2</t>
  </si>
  <si>
    <t>DICA</t>
  </si>
  <si>
    <t>DICP</t>
  </si>
  <si>
    <t>DICY</t>
  </si>
  <si>
    <t>DISN</t>
  </si>
  <si>
    <t>DOCU</t>
  </si>
  <si>
    <t>E</t>
  </si>
  <si>
    <t>EA</t>
  </si>
  <si>
    <t>EBAY</t>
  </si>
  <si>
    <t>EBR</t>
  </si>
  <si>
    <t>EDN</t>
  </si>
  <si>
    <t>ERIC</t>
  </si>
  <si>
    <t>ERJ</t>
  </si>
  <si>
    <t>ETSY</t>
  </si>
  <si>
    <t>FCX</t>
  </si>
  <si>
    <t>FDX</t>
  </si>
  <si>
    <t>FMX</t>
  </si>
  <si>
    <t>FSLR</t>
  </si>
  <si>
    <t>GAMI</t>
  </si>
  <si>
    <t>GCLA</t>
  </si>
  <si>
    <t>GD29</t>
  </si>
  <si>
    <t>GD30</t>
  </si>
  <si>
    <t>GD35</t>
  </si>
  <si>
    <t>GD41</t>
  </si>
  <si>
    <t>GE</t>
  </si>
  <si>
    <t>GFI</t>
  </si>
  <si>
    <t>GG</t>
  </si>
  <si>
    <t>GGAL</t>
  </si>
  <si>
    <t>GGB</t>
  </si>
  <si>
    <t>GILD</t>
  </si>
  <si>
    <t>GLNT</t>
  </si>
  <si>
    <t>GLOB</t>
  </si>
  <si>
    <t>GLW</t>
  </si>
  <si>
    <t>GOLD</t>
  </si>
  <si>
    <t>GOOGL</t>
  </si>
  <si>
    <t>HAL</t>
  </si>
  <si>
    <t>HD</t>
  </si>
  <si>
    <t>HL</t>
  </si>
  <si>
    <t>HMY</t>
  </si>
  <si>
    <t>HON</t>
  </si>
  <si>
    <t>HPQ</t>
  </si>
  <si>
    <t>HSY</t>
  </si>
  <si>
    <t>HUT</t>
  </si>
  <si>
    <t>IBM</t>
  </si>
  <si>
    <t>IBN</t>
  </si>
  <si>
    <t>IFF</t>
  </si>
  <si>
    <t>ING</t>
  </si>
  <si>
    <t>INTC</t>
  </si>
  <si>
    <t>IRC8O</t>
  </si>
  <si>
    <t>IRCP</t>
  </si>
  <si>
    <t>ITUB</t>
  </si>
  <si>
    <t>JD</t>
  </si>
  <si>
    <t>JNJ</t>
  </si>
  <si>
    <t>JPM</t>
  </si>
  <si>
    <t>KB</t>
  </si>
  <si>
    <t>KMB</t>
  </si>
  <si>
    <t>KOFM</t>
  </si>
  <si>
    <t>LAC</t>
  </si>
  <si>
    <t>LLY</t>
  </si>
  <si>
    <t>LMS1O</t>
  </si>
  <si>
    <t>$1.000.000</t>
  </si>
  <si>
    <t>LMT</t>
  </si>
  <si>
    <t>LOMA</t>
  </si>
  <si>
    <t>LRCX</t>
  </si>
  <si>
    <t>LTDA9</t>
  </si>
  <si>
    <t>LVS</t>
  </si>
  <si>
    <t>LYG</t>
  </si>
  <si>
    <t>MCD</t>
  </si>
  <si>
    <t>MDT</t>
  </si>
  <si>
    <t>MELI</t>
  </si>
  <si>
    <t>META</t>
  </si>
  <si>
    <t>METAD</t>
  </si>
  <si>
    <t>METR</t>
  </si>
  <si>
    <t>MIRG</t>
  </si>
  <si>
    <t>MMC</t>
  </si>
  <si>
    <t>MMM</t>
  </si>
  <si>
    <t>MO</t>
  </si>
  <si>
    <t>MRCAO</t>
  </si>
  <si>
    <t>MSFT</t>
  </si>
  <si>
    <t>MSI</t>
  </si>
  <si>
    <t>MSTR</t>
  </si>
  <si>
    <t>NDG21</t>
  </si>
  <si>
    <t>NEM</t>
  </si>
  <si>
    <t>NFLX</t>
  </si>
  <si>
    <t>NIO</t>
  </si>
  <si>
    <t>NKE</t>
  </si>
  <si>
    <t>NO20</t>
  </si>
  <si>
    <t>NOKA</t>
  </si>
  <si>
    <t>NTES</t>
  </si>
  <si>
    <t>NUE</t>
  </si>
  <si>
    <t>NVDA</t>
  </si>
  <si>
    <t>NVS</t>
  </si>
  <si>
    <t>OLC2O</t>
  </si>
  <si>
    <t>OPNY1</t>
  </si>
  <si>
    <t>ORCL</t>
  </si>
  <si>
    <t>OXY</t>
  </si>
  <si>
    <t>PAAS</t>
  </si>
  <si>
    <t>PAMP</t>
  </si>
  <si>
    <t>PANW</t>
  </si>
  <si>
    <t>PARA</t>
  </si>
  <si>
    <t>PARP</t>
  </si>
  <si>
    <t>PARY</t>
  </si>
  <si>
    <t>PATA</t>
  </si>
  <si>
    <t>$200.000</t>
  </si>
  <si>
    <t>PAY0</t>
  </si>
  <si>
    <t>PBA25</t>
  </si>
  <si>
    <t>PBD18</t>
  </si>
  <si>
    <t>PBF23</t>
  </si>
  <si>
    <t>PBM24</t>
  </si>
  <si>
    <t>PBR</t>
  </si>
  <si>
    <t>PBY22</t>
  </si>
  <si>
    <t>PBY24</t>
  </si>
  <si>
    <t>PCAR</t>
  </si>
  <si>
    <t>PEP</t>
  </si>
  <si>
    <t>PFE</t>
  </si>
  <si>
    <t>PG</t>
  </si>
  <si>
    <t>PGR</t>
  </si>
  <si>
    <t>PHG</t>
  </si>
  <si>
    <t>PLTR</t>
  </si>
  <si>
    <t>PMD18</t>
  </si>
  <si>
    <t>PMG18</t>
  </si>
  <si>
    <t>PMJ21</t>
  </si>
  <si>
    <t>PMN18</t>
  </si>
  <si>
    <t>PMO18</t>
  </si>
  <si>
    <t>PNQCO</t>
  </si>
  <si>
    <t>PR13</t>
  </si>
  <si>
    <t>PR15</t>
  </si>
  <si>
    <t>PSX</t>
  </si>
  <si>
    <t>PUM21</t>
  </si>
  <si>
    <t>PUO19</t>
  </si>
  <si>
    <t>PYPL</t>
  </si>
  <si>
    <t>QCOM</t>
  </si>
  <si>
    <t>RBLX</t>
  </si>
  <si>
    <t>RIO</t>
  </si>
  <si>
    <t>RIOT</t>
  </si>
  <si>
    <t>RTX</t>
  </si>
  <si>
    <t>SAN</t>
  </si>
  <si>
    <t>SAP</t>
  </si>
  <si>
    <t>SBUX</t>
  </si>
  <si>
    <t>SE</t>
  </si>
  <si>
    <t>SEMI</t>
  </si>
  <si>
    <t>SHOP</t>
  </si>
  <si>
    <t>SI</t>
  </si>
  <si>
    <t>SID</t>
  </si>
  <si>
    <t>SIEGY</t>
  </si>
  <si>
    <t>SLB</t>
  </si>
  <si>
    <t>SNAP</t>
  </si>
  <si>
    <t>SNOW</t>
  </si>
  <si>
    <t>SONY</t>
  </si>
  <si>
    <t>SPCE</t>
  </si>
  <si>
    <t>SPOT</t>
  </si>
  <si>
    <t>SQ</t>
  </si>
  <si>
    <t>SUPV</t>
  </si>
  <si>
    <t>SYY</t>
  </si>
  <si>
    <t>T</t>
  </si>
  <si>
    <t>T2V4</t>
  </si>
  <si>
    <t>T2X4</t>
  </si>
  <si>
    <t>TC21</t>
  </si>
  <si>
    <t>TCOM</t>
  </si>
  <si>
    <t>TDF24</t>
  </si>
  <si>
    <t>TECO2</t>
  </si>
  <si>
    <t>TEFO</t>
  </si>
  <si>
    <t>TGNO4</t>
  </si>
  <si>
    <t>TGSU2</t>
  </si>
  <si>
    <t>TGT</t>
  </si>
  <si>
    <t>TJ20</t>
  </si>
  <si>
    <t>TLC5O</t>
  </si>
  <si>
    <t>TLCAO</t>
  </si>
  <si>
    <t>TM</t>
  </si>
  <si>
    <t>TMO</t>
  </si>
  <si>
    <t>TO21</t>
  </si>
  <si>
    <t>TO23</t>
  </si>
  <si>
    <t>TO26</t>
  </si>
  <si>
    <t>TRAN</t>
  </si>
  <si>
    <t>TRIP</t>
  </si>
  <si>
    <t>TSLA</t>
  </si>
  <si>
    <t>TSM</t>
  </si>
  <si>
    <t>TTM</t>
  </si>
  <si>
    <t>TVPA</t>
  </si>
  <si>
    <t>TVPE</t>
  </si>
  <si>
    <t>TVPP</t>
  </si>
  <si>
    <t>TVPY</t>
  </si>
  <si>
    <t>TVY0</t>
  </si>
  <si>
    <t>TWLO</t>
  </si>
  <si>
    <t>TX23</t>
  </si>
  <si>
    <t>TX24</t>
  </si>
  <si>
    <t>TX26</t>
  </si>
  <si>
    <t>TX28</t>
  </si>
  <si>
    <t>TXAR</t>
  </si>
  <si>
    <t>TXN</t>
  </si>
  <si>
    <t>TXR</t>
  </si>
  <si>
    <t>UBER</t>
  </si>
  <si>
    <t>UGP</t>
  </si>
  <si>
    <t>UPST</t>
  </si>
  <si>
    <t>USB</t>
  </si>
  <si>
    <t>V</t>
  </si>
  <si>
    <t>VALO</t>
  </si>
  <si>
    <t>VIST</t>
  </si>
  <si>
    <t>VIV</t>
  </si>
  <si>
    <t>VZ</t>
  </si>
  <si>
    <t>WBO</t>
  </si>
  <si>
    <t>WMT</t>
  </si>
  <si>
    <t>X</t>
  </si>
  <si>
    <t>XOM</t>
  </si>
  <si>
    <t>XP</t>
  </si>
  <si>
    <t>YCA6O</t>
  </si>
  <si>
    <t>YMCHO</t>
  </si>
  <si>
    <t>YMCIO</t>
  </si>
  <si>
    <t>YMCJO</t>
  </si>
  <si>
    <t>YPCUO</t>
  </si>
  <si>
    <t>YPFD</t>
  </si>
  <si>
    <t>YY</t>
  </si>
  <si>
    <t>ZM</t>
  </si>
  <si>
    <t>split</t>
  </si>
  <si>
    <t>cupón</t>
  </si>
  <si>
    <t>sin datos</t>
  </si>
  <si>
    <t>error</t>
  </si>
  <si>
    <t>excluidos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</si>
</sst>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dd/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2" xfId="0" applyFont="1" applyFill="1" applyBorder="1" applyAlignment="1">
      <alignment horizontal="center" vertical="top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3"/>
  <sheetViews>
    <sheetView tabSelected="1" workbookViewId="0">
      <pane ySplit="1" topLeftCell="A695" activePane="bottomLeft" state="frozen"/>
      <selection pane="bottomLeft" activeCell="A713" sqref="A713"/>
    </sheetView>
  </sheetViews>
  <sheetFormatPr baseColWidth="10" defaultColWidth="8.88671875" defaultRowHeight="14.4" x14ac:dyDescent="0.3"/>
  <cols>
    <col min="2" max="2" width="9.21875" style="4" bestFit="1" customWidth="1"/>
    <col min="9" max="9" width="14.109375" bestFit="1" customWidth="1"/>
    <col min="17" max="17" width="9.5546875" bestFit="1" customWidth="1"/>
    <col min="19" max="19" width="9.5546875" bestFit="1" customWidth="1"/>
  </cols>
  <sheetData>
    <row r="1" spans="1:21" x14ac:dyDescent="0.3">
      <c r="B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333</v>
      </c>
    </row>
    <row r="2" spans="1:21" x14ac:dyDescent="0.3">
      <c r="A2" s="1">
        <v>558</v>
      </c>
      <c r="B2" s="4">
        <v>43689</v>
      </c>
      <c r="C2">
        <v>3250</v>
      </c>
      <c r="D2">
        <v>3400</v>
      </c>
      <c r="E2">
        <v>3200</v>
      </c>
      <c r="F2">
        <v>3200</v>
      </c>
      <c r="G2">
        <v>128000</v>
      </c>
      <c r="H2" t="s">
        <v>11</v>
      </c>
      <c r="I2" t="s">
        <v>12</v>
      </c>
      <c r="J2">
        <v>0.9</v>
      </c>
      <c r="K2">
        <v>-0.1688311688311688</v>
      </c>
      <c r="L2">
        <v>-6.8831168831168799E-2</v>
      </c>
      <c r="Q2" s="2"/>
      <c r="R2" s="2"/>
    </row>
    <row r="3" spans="1:21" x14ac:dyDescent="0.3">
      <c r="A3" s="1">
        <v>562</v>
      </c>
      <c r="B3" s="4">
        <v>43693</v>
      </c>
      <c r="C3">
        <v>3300</v>
      </c>
      <c r="D3">
        <v>3338</v>
      </c>
      <c r="E3">
        <v>3145.5</v>
      </c>
      <c r="F3">
        <v>3145.5</v>
      </c>
      <c r="G3">
        <v>104000</v>
      </c>
      <c r="H3" t="s">
        <v>11</v>
      </c>
      <c r="I3" t="s">
        <v>12</v>
      </c>
      <c r="J3">
        <v>0.9</v>
      </c>
      <c r="K3">
        <v>-0.14057377049180331</v>
      </c>
      <c r="L3">
        <v>-4.0573770491803329E-2</v>
      </c>
      <c r="Q3" s="2"/>
      <c r="R3" s="2"/>
    </row>
    <row r="4" spans="1:21" x14ac:dyDescent="0.3">
      <c r="A4" s="1">
        <v>568</v>
      </c>
      <c r="B4" s="4">
        <v>43704</v>
      </c>
      <c r="C4">
        <v>2990</v>
      </c>
      <c r="D4">
        <v>2990</v>
      </c>
      <c r="E4">
        <v>2815</v>
      </c>
      <c r="F4">
        <v>2825</v>
      </c>
      <c r="G4">
        <v>34000</v>
      </c>
      <c r="H4" t="s">
        <v>11</v>
      </c>
      <c r="I4" t="s">
        <v>12</v>
      </c>
      <c r="J4">
        <v>0.9</v>
      </c>
      <c r="K4">
        <v>-0.22814207650273219</v>
      </c>
      <c r="L4">
        <v>-0.12814207650273221</v>
      </c>
      <c r="Q4" s="2"/>
      <c r="R4" s="2"/>
    </row>
    <row r="5" spans="1:21" x14ac:dyDescent="0.3">
      <c r="A5" s="1">
        <v>579</v>
      </c>
      <c r="B5" s="4">
        <v>43719</v>
      </c>
      <c r="C5">
        <v>3070</v>
      </c>
      <c r="D5">
        <v>3100</v>
      </c>
      <c r="E5">
        <v>3045</v>
      </c>
      <c r="F5">
        <v>3075</v>
      </c>
      <c r="G5">
        <v>20000</v>
      </c>
      <c r="H5" t="s">
        <v>11</v>
      </c>
      <c r="I5" t="s">
        <v>12</v>
      </c>
      <c r="J5">
        <v>0.9</v>
      </c>
      <c r="K5">
        <v>-0.1598360655737705</v>
      </c>
      <c r="L5">
        <v>-5.9836065573770518E-2</v>
      </c>
    </row>
    <row r="6" spans="1:21" x14ac:dyDescent="0.3">
      <c r="A6" s="1">
        <v>612</v>
      </c>
      <c r="B6" s="4">
        <v>43767</v>
      </c>
      <c r="C6">
        <v>3460</v>
      </c>
      <c r="D6">
        <v>3460</v>
      </c>
      <c r="E6">
        <v>3400</v>
      </c>
      <c r="F6">
        <v>3400</v>
      </c>
      <c r="G6">
        <v>11000</v>
      </c>
      <c r="H6" t="s">
        <v>11</v>
      </c>
      <c r="I6" t="s">
        <v>12</v>
      </c>
      <c r="J6">
        <v>0.9</v>
      </c>
      <c r="K6">
        <v>-0.1029023746701847</v>
      </c>
      <c r="L6">
        <v>-2.902374670184726E-3</v>
      </c>
      <c r="Q6" s="5"/>
      <c r="R6" s="5"/>
      <c r="S6" s="5"/>
      <c r="T6" s="5"/>
      <c r="U6" s="5"/>
    </row>
    <row r="7" spans="1:21" x14ac:dyDescent="0.3">
      <c r="A7" s="1">
        <v>703</v>
      </c>
      <c r="B7" s="4">
        <v>43906</v>
      </c>
      <c r="C7">
        <v>3315</v>
      </c>
      <c r="D7">
        <v>3315</v>
      </c>
      <c r="E7">
        <v>2900</v>
      </c>
      <c r="F7">
        <v>2900</v>
      </c>
      <c r="G7">
        <v>154000</v>
      </c>
      <c r="H7" t="s">
        <v>11</v>
      </c>
      <c r="I7" t="s">
        <v>12</v>
      </c>
      <c r="J7">
        <v>0.9</v>
      </c>
      <c r="K7">
        <v>-0.1278195488721805</v>
      </c>
      <c r="L7">
        <v>-2.7819548872180518E-2</v>
      </c>
      <c r="Q7" s="2"/>
      <c r="R7" s="2"/>
    </row>
    <row r="8" spans="1:21" x14ac:dyDescent="0.3">
      <c r="A8" s="1">
        <v>705</v>
      </c>
      <c r="B8" s="4">
        <v>43908</v>
      </c>
      <c r="C8">
        <v>2800</v>
      </c>
      <c r="D8">
        <v>2800</v>
      </c>
      <c r="E8">
        <v>2600</v>
      </c>
      <c r="F8">
        <v>2600</v>
      </c>
      <c r="G8">
        <v>12000</v>
      </c>
      <c r="H8" t="s">
        <v>11</v>
      </c>
      <c r="I8" t="s">
        <v>12</v>
      </c>
      <c r="J8">
        <v>0.9</v>
      </c>
      <c r="K8">
        <v>-0.1003460207612457</v>
      </c>
      <c r="L8">
        <v>-3.4602076124567999E-4</v>
      </c>
      <c r="Q8" s="5"/>
      <c r="R8" s="2"/>
    </row>
    <row r="9" spans="1:21" x14ac:dyDescent="0.3">
      <c r="A9" s="1">
        <v>717</v>
      </c>
      <c r="B9" s="4">
        <v>43929</v>
      </c>
      <c r="C9">
        <v>3025</v>
      </c>
      <c r="D9">
        <v>3025</v>
      </c>
      <c r="E9">
        <v>2900</v>
      </c>
      <c r="F9">
        <v>2501.25</v>
      </c>
      <c r="G9">
        <v>31000</v>
      </c>
      <c r="H9" t="s">
        <v>11</v>
      </c>
      <c r="I9" t="s">
        <v>12</v>
      </c>
      <c r="J9">
        <v>0.9</v>
      </c>
      <c r="K9">
        <v>-0.17314049586776861</v>
      </c>
      <c r="L9">
        <v>-7.3140495867768607E-2</v>
      </c>
    </row>
    <row r="10" spans="1:21" x14ac:dyDescent="0.3">
      <c r="A10" s="1">
        <v>743</v>
      </c>
      <c r="B10" s="4">
        <v>43970</v>
      </c>
      <c r="C10">
        <v>5200</v>
      </c>
      <c r="D10">
        <v>5240</v>
      </c>
      <c r="E10">
        <v>4700</v>
      </c>
      <c r="F10">
        <v>4700</v>
      </c>
      <c r="G10">
        <v>36000</v>
      </c>
      <c r="H10" t="s">
        <v>11</v>
      </c>
      <c r="I10" t="s">
        <v>12</v>
      </c>
      <c r="J10">
        <v>0.9</v>
      </c>
      <c r="K10">
        <v>-0.1047619047619047</v>
      </c>
      <c r="L10">
        <v>-4.761904761904745E-3</v>
      </c>
    </row>
    <row r="11" spans="1:21" x14ac:dyDescent="0.3">
      <c r="A11" s="1">
        <v>1470</v>
      </c>
      <c r="B11" s="4">
        <v>43690</v>
      </c>
      <c r="C11">
        <v>3580</v>
      </c>
      <c r="D11">
        <v>3580</v>
      </c>
      <c r="E11">
        <v>3050</v>
      </c>
      <c r="F11">
        <v>3100</v>
      </c>
      <c r="G11">
        <v>28000</v>
      </c>
      <c r="H11" t="s">
        <v>13</v>
      </c>
      <c r="I11" t="s">
        <v>12</v>
      </c>
      <c r="J11">
        <v>0.9</v>
      </c>
      <c r="K11">
        <v>-0.12676056338028169</v>
      </c>
      <c r="L11">
        <v>-2.6760563380281769E-2</v>
      </c>
      <c r="U11">
        <f>711-SUM(U12:U15)</f>
        <v>399</v>
      </c>
    </row>
    <row r="12" spans="1:21" x14ac:dyDescent="0.3">
      <c r="A12" s="1">
        <v>1473</v>
      </c>
      <c r="B12" s="4">
        <v>43693</v>
      </c>
      <c r="C12">
        <v>3200</v>
      </c>
      <c r="D12">
        <v>3200</v>
      </c>
      <c r="E12">
        <v>3000</v>
      </c>
      <c r="F12">
        <v>3000</v>
      </c>
      <c r="G12">
        <v>72000</v>
      </c>
      <c r="H12" t="s">
        <v>13</v>
      </c>
      <c r="I12" t="s">
        <v>12</v>
      </c>
      <c r="J12">
        <v>0.9</v>
      </c>
      <c r="K12">
        <v>-0.12574675797756091</v>
      </c>
      <c r="L12">
        <v>-2.5746757977560871E-2</v>
      </c>
      <c r="T12" t="s">
        <v>330</v>
      </c>
      <c r="U12">
        <f t="shared" ref="U12:U15" si="0">COUNTIF($M$1:$M$712,T12)</f>
        <v>91</v>
      </c>
    </row>
    <row r="13" spans="1:21" x14ac:dyDescent="0.3">
      <c r="A13" s="1">
        <v>1478</v>
      </c>
      <c r="B13" s="4">
        <v>43703</v>
      </c>
      <c r="C13">
        <v>2720</v>
      </c>
      <c r="D13">
        <v>2748</v>
      </c>
      <c r="E13">
        <v>2720</v>
      </c>
      <c r="F13">
        <v>2730</v>
      </c>
      <c r="G13">
        <v>408000</v>
      </c>
      <c r="H13" t="s">
        <v>13</v>
      </c>
      <c r="I13" t="s">
        <v>12</v>
      </c>
      <c r="J13">
        <v>0.9</v>
      </c>
      <c r="K13">
        <v>-0.20442954975958039</v>
      </c>
      <c r="L13">
        <v>-0.1044295497595804</v>
      </c>
      <c r="T13" t="s">
        <v>329</v>
      </c>
      <c r="U13">
        <f t="shared" si="0"/>
        <v>120</v>
      </c>
    </row>
    <row r="14" spans="1:21" x14ac:dyDescent="0.3">
      <c r="A14" s="1">
        <v>1609</v>
      </c>
      <c r="B14" s="4">
        <v>43899</v>
      </c>
      <c r="C14">
        <v>3400</v>
      </c>
      <c r="D14">
        <v>3570</v>
      </c>
      <c r="E14">
        <v>3202</v>
      </c>
      <c r="F14">
        <v>3202</v>
      </c>
      <c r="G14">
        <v>170000</v>
      </c>
      <c r="H14" t="s">
        <v>13</v>
      </c>
      <c r="I14" t="s">
        <v>12</v>
      </c>
      <c r="J14">
        <v>0.9</v>
      </c>
      <c r="K14">
        <v>-0.1203296703296703</v>
      </c>
      <c r="L14">
        <v>-2.0329670329670368E-2</v>
      </c>
      <c r="T14" t="s">
        <v>331</v>
      </c>
      <c r="U14">
        <f t="shared" si="0"/>
        <v>81</v>
      </c>
    </row>
    <row r="15" spans="1:21" x14ac:dyDescent="0.3">
      <c r="A15" s="1">
        <v>1616</v>
      </c>
      <c r="B15" s="4">
        <v>43908</v>
      </c>
      <c r="C15">
        <v>2600</v>
      </c>
      <c r="D15">
        <v>2600</v>
      </c>
      <c r="E15">
        <v>2400</v>
      </c>
      <c r="F15">
        <v>2450</v>
      </c>
      <c r="G15">
        <v>74000</v>
      </c>
      <c r="H15" t="s">
        <v>13</v>
      </c>
      <c r="I15" t="s">
        <v>12</v>
      </c>
      <c r="J15">
        <v>0.9</v>
      </c>
      <c r="K15">
        <v>-0.1551724137931034</v>
      </c>
      <c r="L15">
        <v>-5.5172413793103448E-2</v>
      </c>
      <c r="T15" t="s">
        <v>332</v>
      </c>
      <c r="U15">
        <f t="shared" si="0"/>
        <v>20</v>
      </c>
    </row>
    <row r="16" spans="1:21" x14ac:dyDescent="0.3">
      <c r="A16" s="1">
        <v>1942</v>
      </c>
      <c r="B16" s="4">
        <v>43907</v>
      </c>
      <c r="C16">
        <v>2570</v>
      </c>
      <c r="D16">
        <v>2570</v>
      </c>
      <c r="E16">
        <v>2570</v>
      </c>
      <c r="F16">
        <v>2570</v>
      </c>
      <c r="G16">
        <v>35000</v>
      </c>
      <c r="H16" t="s">
        <v>14</v>
      </c>
      <c r="I16" t="s">
        <v>15</v>
      </c>
      <c r="J16">
        <v>0.8</v>
      </c>
      <c r="K16">
        <v>-0.2371623627189077</v>
      </c>
      <c r="L16">
        <v>-3.7162362718907722E-2</v>
      </c>
    </row>
    <row r="17" spans="1:13" x14ac:dyDescent="0.3">
      <c r="A17" s="1">
        <v>2495</v>
      </c>
      <c r="B17" s="4">
        <v>43690</v>
      </c>
      <c r="C17">
        <v>135</v>
      </c>
      <c r="D17">
        <v>135</v>
      </c>
      <c r="E17">
        <v>134</v>
      </c>
      <c r="F17">
        <v>134.5</v>
      </c>
      <c r="G17">
        <v>995812</v>
      </c>
      <c r="H17" t="s">
        <v>16</v>
      </c>
      <c r="I17" t="s">
        <v>12</v>
      </c>
      <c r="J17">
        <v>0.9</v>
      </c>
      <c r="K17">
        <v>-0.1378205128205128</v>
      </c>
      <c r="L17">
        <v>-3.7820512820512797E-2</v>
      </c>
    </row>
    <row r="18" spans="1:13" x14ac:dyDescent="0.3">
      <c r="A18" s="1">
        <v>2500</v>
      </c>
      <c r="B18" s="4">
        <v>43700</v>
      </c>
      <c r="C18">
        <v>111</v>
      </c>
      <c r="D18">
        <v>113.95</v>
      </c>
      <c r="E18">
        <v>110</v>
      </c>
      <c r="F18">
        <v>110</v>
      </c>
      <c r="G18">
        <v>118932291</v>
      </c>
      <c r="H18" t="s">
        <v>16</v>
      </c>
      <c r="I18" t="s">
        <v>12</v>
      </c>
      <c r="J18">
        <v>0.9</v>
      </c>
      <c r="K18">
        <v>-0.10931174089068831</v>
      </c>
      <c r="L18">
        <v>-9.3117408906883137E-3</v>
      </c>
    </row>
    <row r="19" spans="1:13" x14ac:dyDescent="0.3">
      <c r="A19" s="1">
        <v>2507</v>
      </c>
      <c r="B19" s="4">
        <v>43712</v>
      </c>
      <c r="C19">
        <v>80</v>
      </c>
      <c r="D19">
        <v>82</v>
      </c>
      <c r="E19">
        <v>78</v>
      </c>
      <c r="F19">
        <v>76.388999999999996</v>
      </c>
      <c r="G19">
        <v>24200000</v>
      </c>
      <c r="H19" t="s">
        <v>16</v>
      </c>
      <c r="I19" t="s">
        <v>12</v>
      </c>
      <c r="J19">
        <v>0.9</v>
      </c>
      <c r="K19">
        <v>-0.20428125000000011</v>
      </c>
      <c r="L19">
        <v>-0.1042812500000001</v>
      </c>
    </row>
    <row r="20" spans="1:13" x14ac:dyDescent="0.3">
      <c r="A20" s="1">
        <v>2519</v>
      </c>
      <c r="B20" s="4">
        <v>43728</v>
      </c>
      <c r="C20">
        <v>86.5</v>
      </c>
      <c r="D20">
        <v>86.5</v>
      </c>
      <c r="E20">
        <v>83.5</v>
      </c>
      <c r="F20">
        <v>83.5</v>
      </c>
      <c r="G20">
        <v>8090021</v>
      </c>
      <c r="H20" t="s">
        <v>16</v>
      </c>
      <c r="I20" t="s">
        <v>12</v>
      </c>
      <c r="J20">
        <v>0.9</v>
      </c>
      <c r="K20">
        <v>-0.1210526315789474</v>
      </c>
      <c r="L20">
        <v>-2.105263157894743E-2</v>
      </c>
    </row>
    <row r="21" spans="1:13" x14ac:dyDescent="0.3">
      <c r="A21" s="1">
        <v>2612</v>
      </c>
      <c r="B21" s="4">
        <v>43872</v>
      </c>
      <c r="C21">
        <v>189.9</v>
      </c>
      <c r="D21">
        <v>189.9</v>
      </c>
      <c r="E21">
        <v>162</v>
      </c>
      <c r="F21">
        <v>171.8</v>
      </c>
      <c r="G21">
        <v>61902137</v>
      </c>
      <c r="H21" t="s">
        <v>16</v>
      </c>
      <c r="I21" t="s">
        <v>12</v>
      </c>
      <c r="J21">
        <v>0.9</v>
      </c>
      <c r="K21">
        <v>-0.100523560209424</v>
      </c>
      <c r="L21">
        <v>-5.2356020942401216E-4</v>
      </c>
    </row>
    <row r="22" spans="1:13" x14ac:dyDescent="0.3">
      <c r="A22" s="1">
        <v>3064</v>
      </c>
      <c r="B22" s="6">
        <v>43375</v>
      </c>
      <c r="C22" s="7">
        <v>97</v>
      </c>
      <c r="D22" s="7">
        <v>97</v>
      </c>
      <c r="E22" s="7">
        <v>95</v>
      </c>
      <c r="F22" s="7">
        <v>95</v>
      </c>
      <c r="G22" s="7">
        <v>22000</v>
      </c>
      <c r="H22" s="7" t="s">
        <v>17</v>
      </c>
      <c r="I22" s="7" t="s">
        <v>12</v>
      </c>
      <c r="J22" s="7">
        <v>0.9</v>
      </c>
      <c r="K22" s="7">
        <v>-0.1121495327102804</v>
      </c>
      <c r="L22" s="7">
        <v>-1.214953271028041E-2</v>
      </c>
      <c r="M22" s="7" t="s">
        <v>330</v>
      </c>
    </row>
    <row r="23" spans="1:13" x14ac:dyDescent="0.3">
      <c r="A23" s="1">
        <v>3121</v>
      </c>
      <c r="B23" s="6">
        <v>43462</v>
      </c>
      <c r="C23" s="7">
        <v>96</v>
      </c>
      <c r="D23" s="7">
        <v>96</v>
      </c>
      <c r="E23" s="7">
        <v>96</v>
      </c>
      <c r="F23" s="7">
        <v>96</v>
      </c>
      <c r="G23" s="7">
        <v>39250</v>
      </c>
      <c r="H23" s="7" t="s">
        <v>17</v>
      </c>
      <c r="I23" s="7" t="s">
        <v>12</v>
      </c>
      <c r="J23" s="7">
        <v>0.9</v>
      </c>
      <c r="K23" s="7">
        <v>-0.1172413793103448</v>
      </c>
      <c r="L23" s="7">
        <v>-1.7241379310344859E-2</v>
      </c>
      <c r="M23" s="7" t="s">
        <v>330</v>
      </c>
    </row>
    <row r="24" spans="1:13" x14ac:dyDescent="0.3">
      <c r="A24" s="1">
        <v>3167</v>
      </c>
      <c r="B24" s="6">
        <v>43558</v>
      </c>
      <c r="C24" s="7">
        <v>96.4</v>
      </c>
      <c r="D24" s="7">
        <v>96.4</v>
      </c>
      <c r="E24" s="7">
        <v>96.4</v>
      </c>
      <c r="F24" s="7">
        <v>96.4</v>
      </c>
      <c r="G24" s="7">
        <v>27000</v>
      </c>
      <c r="H24" s="7" t="s">
        <v>17</v>
      </c>
      <c r="I24" s="7" t="s">
        <v>12</v>
      </c>
      <c r="J24" s="7">
        <v>0.9</v>
      </c>
      <c r="K24" s="7">
        <v>-0.1032558139534884</v>
      </c>
      <c r="L24" s="7">
        <v>-3.2558139534883961E-3</v>
      </c>
      <c r="M24" s="7" t="s">
        <v>330</v>
      </c>
    </row>
    <row r="25" spans="1:13" x14ac:dyDescent="0.3">
      <c r="A25" s="1">
        <v>3215</v>
      </c>
      <c r="B25" s="6">
        <v>43649</v>
      </c>
      <c r="C25" s="7">
        <v>86.7</v>
      </c>
      <c r="D25" s="7">
        <v>86.7</v>
      </c>
      <c r="E25" s="7">
        <v>86.7</v>
      </c>
      <c r="F25" s="7">
        <v>86.7</v>
      </c>
      <c r="G25" s="7">
        <v>1606</v>
      </c>
      <c r="H25" s="7" t="s">
        <v>17</v>
      </c>
      <c r="I25" s="7" t="s">
        <v>12</v>
      </c>
      <c r="J25" s="7">
        <v>0.9</v>
      </c>
      <c r="K25" s="7">
        <v>-0.1295180722891566</v>
      </c>
      <c r="L25" s="7">
        <v>-2.951807228915659E-2</v>
      </c>
      <c r="M25" s="7" t="s">
        <v>330</v>
      </c>
    </row>
    <row r="26" spans="1:13" x14ac:dyDescent="0.3">
      <c r="A26" s="1">
        <v>3239</v>
      </c>
      <c r="B26" s="4">
        <v>43690</v>
      </c>
      <c r="C26">
        <v>84</v>
      </c>
      <c r="D26">
        <v>85.5</v>
      </c>
      <c r="E26">
        <v>75</v>
      </c>
      <c r="F26">
        <v>75</v>
      </c>
      <c r="G26">
        <v>17000</v>
      </c>
      <c r="H26" t="s">
        <v>17</v>
      </c>
      <c r="I26" t="s">
        <v>12</v>
      </c>
      <c r="J26">
        <v>0.9</v>
      </c>
      <c r="K26">
        <v>-0.1666666666666666</v>
      </c>
      <c r="L26">
        <v>-6.6666666666666652E-2</v>
      </c>
    </row>
    <row r="27" spans="1:13" x14ac:dyDescent="0.3">
      <c r="A27" s="1">
        <v>3242</v>
      </c>
      <c r="B27" s="4">
        <v>43693</v>
      </c>
      <c r="C27">
        <v>80</v>
      </c>
      <c r="D27">
        <v>81</v>
      </c>
      <c r="E27">
        <v>75</v>
      </c>
      <c r="F27">
        <v>81</v>
      </c>
      <c r="G27">
        <v>143950</v>
      </c>
      <c r="H27" t="s">
        <v>17</v>
      </c>
      <c r="I27" t="s">
        <v>12</v>
      </c>
      <c r="J27">
        <v>0.9</v>
      </c>
      <c r="K27">
        <v>-0.22925408923524879</v>
      </c>
      <c r="L27">
        <v>-0.12925408923524881</v>
      </c>
    </row>
    <row r="28" spans="1:13" x14ac:dyDescent="0.3">
      <c r="A28" s="1">
        <v>3257</v>
      </c>
      <c r="B28" s="4">
        <v>43719</v>
      </c>
      <c r="C28">
        <v>45</v>
      </c>
      <c r="D28">
        <v>48</v>
      </c>
      <c r="E28">
        <v>44</v>
      </c>
      <c r="F28">
        <v>48</v>
      </c>
      <c r="G28">
        <v>135808</v>
      </c>
      <c r="H28" t="s">
        <v>17</v>
      </c>
      <c r="I28" t="s">
        <v>12</v>
      </c>
      <c r="J28">
        <v>0.9</v>
      </c>
      <c r="K28">
        <v>-0.54326168250977713</v>
      </c>
      <c r="L28">
        <v>-0.44326168250977721</v>
      </c>
    </row>
    <row r="29" spans="1:13" x14ac:dyDescent="0.3">
      <c r="A29" s="1">
        <v>3258</v>
      </c>
      <c r="B29" s="4">
        <v>43720</v>
      </c>
      <c r="C29">
        <v>45</v>
      </c>
      <c r="D29">
        <v>50</v>
      </c>
      <c r="E29">
        <v>41.8</v>
      </c>
      <c r="F29">
        <v>41.8</v>
      </c>
      <c r="G29">
        <v>2363217</v>
      </c>
      <c r="H29" t="s">
        <v>17</v>
      </c>
      <c r="I29" t="s">
        <v>12</v>
      </c>
      <c r="J29">
        <v>0.9</v>
      </c>
      <c r="K29">
        <v>-0.12916666666666679</v>
      </c>
      <c r="L29">
        <v>-2.9166666666666789E-2</v>
      </c>
    </row>
    <row r="30" spans="1:13" x14ac:dyDescent="0.3">
      <c r="A30" s="1">
        <v>3271</v>
      </c>
      <c r="B30" s="6">
        <v>43739</v>
      </c>
      <c r="C30" s="7">
        <v>60.1</v>
      </c>
      <c r="D30" s="7">
        <v>60.1</v>
      </c>
      <c r="E30" s="7">
        <v>51</v>
      </c>
      <c r="F30" s="7">
        <v>51</v>
      </c>
      <c r="G30" s="7">
        <v>572617</v>
      </c>
      <c r="H30" s="7" t="s">
        <v>17</v>
      </c>
      <c r="I30" s="7" t="s">
        <v>12</v>
      </c>
      <c r="J30" s="7">
        <v>0.9</v>
      </c>
      <c r="K30" s="7">
        <v>-0.22137404580152681</v>
      </c>
      <c r="L30" s="7">
        <v>-0.1213740458015268</v>
      </c>
      <c r="M30" s="7" t="s">
        <v>330</v>
      </c>
    </row>
    <row r="31" spans="1:13" x14ac:dyDescent="0.3">
      <c r="A31" s="1">
        <v>3387</v>
      </c>
      <c r="B31" s="6">
        <v>43922</v>
      </c>
      <c r="C31" s="7">
        <v>65</v>
      </c>
      <c r="D31" s="7">
        <v>65</v>
      </c>
      <c r="E31" s="7">
        <v>63.63</v>
      </c>
      <c r="F31" s="7">
        <v>63.63</v>
      </c>
      <c r="G31" s="7">
        <v>104074</v>
      </c>
      <c r="H31" s="7" t="s">
        <v>17</v>
      </c>
      <c r="I31" s="7" t="s">
        <v>12</v>
      </c>
      <c r="J31" s="7">
        <v>0.9</v>
      </c>
      <c r="K31" s="7">
        <v>-0.12596153846153829</v>
      </c>
      <c r="L31" s="7">
        <v>-2.5961538461538369E-2</v>
      </c>
      <c r="M31" s="7" t="s">
        <v>330</v>
      </c>
    </row>
    <row r="32" spans="1:13" x14ac:dyDescent="0.3">
      <c r="A32" s="1">
        <v>4586</v>
      </c>
      <c r="B32" s="4">
        <v>43929</v>
      </c>
      <c r="C32">
        <v>2198.5</v>
      </c>
      <c r="D32">
        <v>2198.5</v>
      </c>
      <c r="E32">
        <v>2060</v>
      </c>
      <c r="F32">
        <v>2150</v>
      </c>
      <c r="G32">
        <v>27653</v>
      </c>
      <c r="H32" t="s">
        <v>18</v>
      </c>
      <c r="I32" t="s">
        <v>15</v>
      </c>
      <c r="J32">
        <v>0.8</v>
      </c>
      <c r="K32">
        <v>-0.41174217343482378</v>
      </c>
      <c r="L32">
        <v>-0.21174217343482379</v>
      </c>
    </row>
    <row r="33" spans="1:13" x14ac:dyDescent="0.3">
      <c r="A33" s="1">
        <v>4935</v>
      </c>
      <c r="B33" s="6">
        <v>43395</v>
      </c>
      <c r="C33" s="7">
        <v>3180</v>
      </c>
      <c r="D33" s="7">
        <v>3180</v>
      </c>
      <c r="E33" s="7">
        <v>3153</v>
      </c>
      <c r="F33" s="7">
        <v>3153</v>
      </c>
      <c r="G33" s="7">
        <v>750000</v>
      </c>
      <c r="H33" s="7" t="s">
        <v>19</v>
      </c>
      <c r="I33" s="7" t="s">
        <v>12</v>
      </c>
      <c r="J33" s="7">
        <v>0.9</v>
      </c>
      <c r="K33" s="7">
        <v>-0.13164417515835861</v>
      </c>
      <c r="L33" s="7">
        <v>-3.1644175158358601E-2</v>
      </c>
      <c r="M33" s="7" t="s">
        <v>330</v>
      </c>
    </row>
    <row r="34" spans="1:13" x14ac:dyDescent="0.3">
      <c r="A34" s="1">
        <v>4962</v>
      </c>
      <c r="B34" s="4">
        <v>43781</v>
      </c>
      <c r="C34">
        <v>3030</v>
      </c>
      <c r="D34">
        <v>3030</v>
      </c>
      <c r="E34">
        <v>2990</v>
      </c>
      <c r="F34">
        <v>2990</v>
      </c>
      <c r="G34">
        <v>1700000</v>
      </c>
      <c r="H34" t="s">
        <v>19</v>
      </c>
      <c r="I34" t="s">
        <v>12</v>
      </c>
      <c r="J34">
        <v>0.9</v>
      </c>
      <c r="K34">
        <v>-0.1411747809852075</v>
      </c>
      <c r="L34">
        <v>-4.1174780985207549E-2</v>
      </c>
    </row>
    <row r="35" spans="1:13" x14ac:dyDescent="0.3">
      <c r="A35" s="1">
        <v>4970</v>
      </c>
      <c r="B35" s="4">
        <v>43950</v>
      </c>
      <c r="C35">
        <v>2830</v>
      </c>
      <c r="D35">
        <v>2830</v>
      </c>
      <c r="E35">
        <v>2830</v>
      </c>
      <c r="F35">
        <v>2830</v>
      </c>
      <c r="G35">
        <v>150000</v>
      </c>
      <c r="H35" t="s">
        <v>19</v>
      </c>
      <c r="I35" t="s">
        <v>12</v>
      </c>
      <c r="J35">
        <v>0.9</v>
      </c>
      <c r="K35">
        <v>-0.30552147239263799</v>
      </c>
      <c r="L35">
        <v>-0.2055214723926381</v>
      </c>
    </row>
    <row r="36" spans="1:13" x14ac:dyDescent="0.3">
      <c r="A36" s="1">
        <v>5539</v>
      </c>
      <c r="B36" s="4">
        <v>43689</v>
      </c>
      <c r="C36">
        <v>3095</v>
      </c>
      <c r="D36">
        <v>3350</v>
      </c>
      <c r="E36">
        <v>2850</v>
      </c>
      <c r="F36">
        <v>2900</v>
      </c>
      <c r="G36">
        <v>153729</v>
      </c>
      <c r="H36" t="s">
        <v>20</v>
      </c>
      <c r="I36" t="s">
        <v>12</v>
      </c>
      <c r="J36">
        <v>0.9</v>
      </c>
      <c r="K36">
        <v>-0.1470588235294118</v>
      </c>
      <c r="L36">
        <v>-4.705882352941182E-2</v>
      </c>
    </row>
    <row r="37" spans="1:13" x14ac:dyDescent="0.3">
      <c r="A37" s="1">
        <v>5549</v>
      </c>
      <c r="B37" s="4">
        <v>43704</v>
      </c>
      <c r="C37">
        <v>2500</v>
      </c>
      <c r="D37">
        <v>2500</v>
      </c>
      <c r="E37">
        <v>2150</v>
      </c>
      <c r="F37">
        <v>2180</v>
      </c>
      <c r="G37">
        <v>1413235</v>
      </c>
      <c r="H37" t="s">
        <v>20</v>
      </c>
      <c r="I37" t="s">
        <v>12</v>
      </c>
      <c r="J37">
        <v>0.9</v>
      </c>
      <c r="K37">
        <v>-0.12602761913085461</v>
      </c>
      <c r="L37">
        <v>-2.602761913085461E-2</v>
      </c>
    </row>
    <row r="38" spans="1:13" x14ac:dyDescent="0.3">
      <c r="A38" s="1">
        <v>5551</v>
      </c>
      <c r="B38" s="4">
        <v>43706</v>
      </c>
      <c r="C38">
        <v>2150</v>
      </c>
      <c r="D38">
        <v>2350</v>
      </c>
      <c r="E38">
        <v>2000</v>
      </c>
      <c r="F38">
        <v>2210</v>
      </c>
      <c r="G38">
        <v>8870000</v>
      </c>
      <c r="H38" t="s">
        <v>20</v>
      </c>
      <c r="I38" t="s">
        <v>12</v>
      </c>
      <c r="J38">
        <v>0.9</v>
      </c>
      <c r="K38">
        <v>-0.1140004762748572</v>
      </c>
      <c r="L38">
        <v>-1.400047627485723E-2</v>
      </c>
    </row>
    <row r="39" spans="1:13" x14ac:dyDescent="0.3">
      <c r="A39" s="1">
        <v>5697</v>
      </c>
      <c r="B39" s="4">
        <v>43927</v>
      </c>
      <c r="C39">
        <v>2490</v>
      </c>
      <c r="D39">
        <v>2490</v>
      </c>
      <c r="E39">
        <v>2000.5</v>
      </c>
      <c r="F39">
        <v>2209</v>
      </c>
      <c r="G39">
        <v>468255</v>
      </c>
      <c r="H39" t="s">
        <v>20</v>
      </c>
      <c r="I39" t="s">
        <v>12</v>
      </c>
      <c r="J39">
        <v>0.9</v>
      </c>
      <c r="K39">
        <v>-0.13879142300194941</v>
      </c>
      <c r="L39">
        <v>-3.8791423001949377E-2</v>
      </c>
    </row>
    <row r="40" spans="1:13" x14ac:dyDescent="0.3">
      <c r="A40" s="1">
        <v>6048</v>
      </c>
      <c r="B40" s="4">
        <v>43692</v>
      </c>
      <c r="C40">
        <v>3083</v>
      </c>
      <c r="D40">
        <v>3083</v>
      </c>
      <c r="E40">
        <v>3083</v>
      </c>
      <c r="F40">
        <v>3086.8539999999998</v>
      </c>
      <c r="G40">
        <v>1300000</v>
      </c>
      <c r="H40" t="s">
        <v>21</v>
      </c>
      <c r="I40" t="s">
        <v>12</v>
      </c>
      <c r="J40">
        <v>0.9</v>
      </c>
      <c r="K40">
        <v>-0.13290617977528099</v>
      </c>
      <c r="L40">
        <v>-3.2906179775280993E-2</v>
      </c>
    </row>
    <row r="41" spans="1:13" x14ac:dyDescent="0.3">
      <c r="A41" s="1">
        <v>6056</v>
      </c>
      <c r="B41" s="4">
        <v>43915</v>
      </c>
      <c r="C41">
        <v>3500</v>
      </c>
      <c r="D41">
        <v>3500</v>
      </c>
      <c r="E41">
        <v>3500</v>
      </c>
      <c r="F41">
        <v>2508.2840000000001</v>
      </c>
      <c r="G41">
        <v>5200000</v>
      </c>
      <c r="H41" t="s">
        <v>21</v>
      </c>
      <c r="I41" t="s">
        <v>12</v>
      </c>
      <c r="J41">
        <v>0.9</v>
      </c>
      <c r="K41">
        <v>-0.20371936507936511</v>
      </c>
      <c r="L41">
        <v>-0.10371936507936511</v>
      </c>
    </row>
    <row r="42" spans="1:13" x14ac:dyDescent="0.3">
      <c r="A42" s="1">
        <v>6554</v>
      </c>
      <c r="B42" s="4">
        <v>45407</v>
      </c>
      <c r="C42">
        <v>5500</v>
      </c>
      <c r="D42">
        <v>8200</v>
      </c>
      <c r="E42">
        <v>5314.5</v>
      </c>
      <c r="F42">
        <v>7322</v>
      </c>
      <c r="G42">
        <v>1657</v>
      </c>
      <c r="H42" t="s">
        <v>22</v>
      </c>
      <c r="I42" t="s">
        <v>23</v>
      </c>
      <c r="J42">
        <v>0.85</v>
      </c>
      <c r="K42">
        <v>-0.28673712921922939</v>
      </c>
      <c r="L42">
        <v>-0.1367371292192294</v>
      </c>
    </row>
    <row r="43" spans="1:13" x14ac:dyDescent="0.3">
      <c r="A43" s="1">
        <v>6918</v>
      </c>
      <c r="B43" s="6">
        <v>41799</v>
      </c>
      <c r="C43" s="7">
        <v>98.5</v>
      </c>
      <c r="D43" s="7">
        <v>101</v>
      </c>
      <c r="E43" s="7">
        <v>98.5</v>
      </c>
      <c r="F43" s="7">
        <v>100</v>
      </c>
      <c r="G43" s="7">
        <v>6930</v>
      </c>
      <c r="H43" s="7" t="s">
        <v>24</v>
      </c>
      <c r="I43" s="7" t="s">
        <v>25</v>
      </c>
      <c r="J43" s="7">
        <v>0.8</v>
      </c>
      <c r="K43" s="7">
        <v>-0.85185185185185186</v>
      </c>
      <c r="L43" s="7">
        <v>-0.6518518518518519</v>
      </c>
      <c r="M43" s="7" t="s">
        <v>329</v>
      </c>
    </row>
    <row r="44" spans="1:13" x14ac:dyDescent="0.3">
      <c r="A44" s="1">
        <v>8428</v>
      </c>
      <c r="B44" s="6">
        <v>44074</v>
      </c>
      <c r="C44" s="7">
        <v>1662.5</v>
      </c>
      <c r="D44" s="7">
        <v>1690</v>
      </c>
      <c r="E44" s="7">
        <v>1616.5</v>
      </c>
      <c r="F44" s="7">
        <v>1679</v>
      </c>
      <c r="G44" s="7">
        <v>77225</v>
      </c>
      <c r="H44" s="7" t="s">
        <v>24</v>
      </c>
      <c r="I44" s="7" t="s">
        <v>25</v>
      </c>
      <c r="J44" s="7">
        <v>0.8</v>
      </c>
      <c r="K44" s="7">
        <v>-0.7346713021491782</v>
      </c>
      <c r="L44" s="7">
        <v>-0.53467130214917824</v>
      </c>
      <c r="M44" s="7" t="s">
        <v>329</v>
      </c>
    </row>
    <row r="45" spans="1:13" x14ac:dyDescent="0.3">
      <c r="A45" s="1">
        <v>9242</v>
      </c>
      <c r="B45" s="6">
        <v>45315</v>
      </c>
      <c r="C45" s="7">
        <v>12550</v>
      </c>
      <c r="D45" s="7">
        <v>12950</v>
      </c>
      <c r="E45" s="7">
        <v>12270</v>
      </c>
      <c r="F45" s="7">
        <v>12697.5</v>
      </c>
      <c r="G45" s="7">
        <v>54161</v>
      </c>
      <c r="H45" s="7" t="s">
        <v>24</v>
      </c>
      <c r="I45" s="7" t="s">
        <v>26</v>
      </c>
      <c r="J45" s="7">
        <v>0.85</v>
      </c>
      <c r="K45" s="7">
        <v>-0.49294171675019471</v>
      </c>
      <c r="L45" s="7">
        <v>-0.34294171675019469</v>
      </c>
      <c r="M45" s="7" t="s">
        <v>329</v>
      </c>
    </row>
    <row r="46" spans="1:13" x14ac:dyDescent="0.3">
      <c r="A46" s="1">
        <v>10136</v>
      </c>
      <c r="B46" s="4">
        <v>43906</v>
      </c>
      <c r="C46">
        <v>655</v>
      </c>
      <c r="D46">
        <v>655</v>
      </c>
      <c r="E46">
        <v>580.5</v>
      </c>
      <c r="F46">
        <v>586</v>
      </c>
      <c r="G46">
        <v>110</v>
      </c>
      <c r="H46" t="s">
        <v>27</v>
      </c>
      <c r="I46" t="s">
        <v>26</v>
      </c>
      <c r="J46">
        <v>0.85</v>
      </c>
      <c r="K46">
        <v>-0.1610594130279169</v>
      </c>
      <c r="L46">
        <v>-1.1059413027916911E-2</v>
      </c>
    </row>
    <row r="47" spans="1:13" x14ac:dyDescent="0.3">
      <c r="A47" s="1">
        <v>11510</v>
      </c>
      <c r="B47" s="4">
        <v>45338</v>
      </c>
      <c r="C47">
        <v>13830</v>
      </c>
      <c r="D47">
        <v>13830</v>
      </c>
      <c r="E47">
        <v>11348.5</v>
      </c>
      <c r="F47">
        <v>11433</v>
      </c>
      <c r="G47">
        <v>1445</v>
      </c>
      <c r="H47" t="s">
        <v>28</v>
      </c>
      <c r="I47" t="s">
        <v>26</v>
      </c>
      <c r="J47">
        <v>0.85</v>
      </c>
      <c r="K47">
        <v>-0.1721216509775525</v>
      </c>
      <c r="L47">
        <v>-2.212165097755248E-2</v>
      </c>
    </row>
    <row r="48" spans="1:13" x14ac:dyDescent="0.3">
      <c r="A48" s="1">
        <v>11688</v>
      </c>
      <c r="B48" s="4">
        <v>43910</v>
      </c>
      <c r="C48">
        <v>3550</v>
      </c>
      <c r="D48">
        <v>3550</v>
      </c>
      <c r="E48">
        <v>3088</v>
      </c>
      <c r="F48">
        <v>3088</v>
      </c>
      <c r="G48">
        <v>120</v>
      </c>
      <c r="H48" t="s">
        <v>29</v>
      </c>
      <c r="I48" t="s">
        <v>26</v>
      </c>
      <c r="J48">
        <v>0.85</v>
      </c>
      <c r="K48">
        <v>-0.15153180381920589</v>
      </c>
      <c r="L48">
        <v>-1.531803819205924E-3</v>
      </c>
    </row>
    <row r="49" spans="1:13" x14ac:dyDescent="0.3">
      <c r="A49" s="1">
        <v>11702</v>
      </c>
      <c r="B49" s="4">
        <v>43937</v>
      </c>
      <c r="C49">
        <v>6099</v>
      </c>
      <c r="D49">
        <v>6125</v>
      </c>
      <c r="E49">
        <v>4800</v>
      </c>
      <c r="F49">
        <v>5012.5</v>
      </c>
      <c r="G49">
        <v>742</v>
      </c>
      <c r="H49" t="s">
        <v>29</v>
      </c>
      <c r="I49" t="s">
        <v>26</v>
      </c>
      <c r="J49">
        <v>0.85</v>
      </c>
      <c r="K49">
        <v>-0.1645833333333333</v>
      </c>
      <c r="L49">
        <v>-1.458333333333328E-2</v>
      </c>
    </row>
    <row r="50" spans="1:13" x14ac:dyDescent="0.3">
      <c r="A50" s="1">
        <v>11829</v>
      </c>
      <c r="B50" s="6">
        <v>44126</v>
      </c>
      <c r="C50" s="7">
        <v>4741</v>
      </c>
      <c r="D50" s="7">
        <v>5050</v>
      </c>
      <c r="E50" s="7">
        <v>4741</v>
      </c>
      <c r="F50" s="7">
        <v>5017.5</v>
      </c>
      <c r="G50" s="7">
        <v>158</v>
      </c>
      <c r="H50" s="7" t="s">
        <v>29</v>
      </c>
      <c r="I50" s="7" t="s">
        <v>26</v>
      </c>
      <c r="J50" s="7">
        <v>0.85</v>
      </c>
      <c r="K50" s="7">
        <v>-0.46960887949260038</v>
      </c>
      <c r="L50" s="7">
        <v>-0.31960887949260042</v>
      </c>
      <c r="M50" s="7" t="s">
        <v>329</v>
      </c>
    </row>
    <row r="51" spans="1:13" x14ac:dyDescent="0.3">
      <c r="A51" s="1">
        <v>13346</v>
      </c>
      <c r="B51" s="4">
        <v>43908</v>
      </c>
      <c r="C51">
        <v>2650</v>
      </c>
      <c r="D51">
        <v>2650</v>
      </c>
      <c r="E51">
        <v>2325</v>
      </c>
      <c r="F51">
        <v>2360</v>
      </c>
      <c r="G51">
        <v>1819000</v>
      </c>
      <c r="H51" t="s">
        <v>30</v>
      </c>
      <c r="I51" t="s">
        <v>12</v>
      </c>
      <c r="J51">
        <v>0.9</v>
      </c>
      <c r="K51">
        <v>-0.12495365220615499</v>
      </c>
      <c r="L51">
        <v>-2.4953652206154971E-2</v>
      </c>
    </row>
    <row r="52" spans="1:13" x14ac:dyDescent="0.3">
      <c r="A52" s="1">
        <v>13587</v>
      </c>
      <c r="B52" s="6">
        <v>44126</v>
      </c>
      <c r="C52" s="7">
        <v>4025</v>
      </c>
      <c r="D52" s="7">
        <v>4125</v>
      </c>
      <c r="E52" s="7">
        <v>3958.5</v>
      </c>
      <c r="F52" s="7">
        <v>4106.5</v>
      </c>
      <c r="G52" s="7">
        <v>394</v>
      </c>
      <c r="H52" s="7" t="s">
        <v>31</v>
      </c>
      <c r="I52" s="7" t="s">
        <v>26</v>
      </c>
      <c r="J52" s="7">
        <v>0.85</v>
      </c>
      <c r="K52" s="7">
        <v>-0.48987577639751562</v>
      </c>
      <c r="L52" s="7">
        <v>-0.33987577639751548</v>
      </c>
      <c r="M52" s="7" t="s">
        <v>329</v>
      </c>
    </row>
    <row r="53" spans="1:13" x14ac:dyDescent="0.3">
      <c r="A53" s="1">
        <v>14365</v>
      </c>
      <c r="B53" s="6">
        <v>45315</v>
      </c>
      <c r="C53" s="7">
        <v>16820</v>
      </c>
      <c r="D53" s="7">
        <v>18900</v>
      </c>
      <c r="E53" s="7">
        <v>16820</v>
      </c>
      <c r="F53" s="7">
        <v>18096</v>
      </c>
      <c r="G53" s="7">
        <v>1949</v>
      </c>
      <c r="H53" s="7" t="s">
        <v>31</v>
      </c>
      <c r="I53" s="7" t="s">
        <v>26</v>
      </c>
      <c r="J53" s="7">
        <v>0.85</v>
      </c>
      <c r="K53" s="7">
        <v>-0.48175725986597168</v>
      </c>
      <c r="L53" s="7">
        <v>-0.33175725986597171</v>
      </c>
      <c r="M53" s="7" t="s">
        <v>329</v>
      </c>
    </row>
    <row r="54" spans="1:13" x14ac:dyDescent="0.3">
      <c r="A54" s="1">
        <v>15495</v>
      </c>
      <c r="B54" s="6">
        <v>45315</v>
      </c>
      <c r="C54" s="7">
        <v>12788</v>
      </c>
      <c r="D54" s="7">
        <v>13423.5</v>
      </c>
      <c r="E54" s="7">
        <v>12788</v>
      </c>
      <c r="F54" s="7">
        <v>13128.5</v>
      </c>
      <c r="G54" s="7">
        <v>1843</v>
      </c>
      <c r="H54" s="7" t="s">
        <v>32</v>
      </c>
      <c r="I54" s="7" t="s">
        <v>25</v>
      </c>
      <c r="J54" s="7">
        <v>0.8</v>
      </c>
      <c r="K54" s="7">
        <v>-0.48910378643421409</v>
      </c>
      <c r="L54" s="7">
        <v>-0.28910378643421419</v>
      </c>
      <c r="M54" s="7" t="s">
        <v>329</v>
      </c>
    </row>
    <row r="55" spans="1:13" x14ac:dyDescent="0.3">
      <c r="A55" s="1">
        <v>15959</v>
      </c>
      <c r="B55" s="6">
        <v>44882</v>
      </c>
      <c r="C55" s="7">
        <v>3503</v>
      </c>
      <c r="D55" s="7">
        <v>3611</v>
      </c>
      <c r="E55" s="7">
        <v>3503</v>
      </c>
      <c r="F55" s="7">
        <v>3611</v>
      </c>
      <c r="G55" s="7">
        <v>27</v>
      </c>
      <c r="H55" s="7" t="s">
        <v>33</v>
      </c>
      <c r="I55" s="7" t="s">
        <v>26</v>
      </c>
      <c r="J55" s="7">
        <v>0.85</v>
      </c>
      <c r="K55" s="7">
        <v>-0.79288192950758551</v>
      </c>
      <c r="L55" s="7">
        <v>-0.64288192950758549</v>
      </c>
      <c r="M55" s="7" t="s">
        <v>329</v>
      </c>
    </row>
    <row r="56" spans="1:13" x14ac:dyDescent="0.3">
      <c r="A56" s="1">
        <v>16332</v>
      </c>
      <c r="B56" s="6">
        <v>44133</v>
      </c>
      <c r="C56" s="7">
        <v>4019.5</v>
      </c>
      <c r="D56" s="7">
        <v>4019.5</v>
      </c>
      <c r="E56" s="7">
        <v>4019.5</v>
      </c>
      <c r="F56" s="7">
        <v>4019.5</v>
      </c>
      <c r="G56" s="7">
        <v>6</v>
      </c>
      <c r="H56" s="7" t="s">
        <v>34</v>
      </c>
      <c r="I56" s="7" t="s">
        <v>23</v>
      </c>
      <c r="J56" s="7">
        <v>0.85</v>
      </c>
      <c r="K56" s="7">
        <v>-0.68105534616147589</v>
      </c>
      <c r="L56" s="7">
        <v>-0.53105534616147587</v>
      </c>
      <c r="M56" s="7" t="s">
        <v>329</v>
      </c>
    </row>
    <row r="57" spans="1:13" x14ac:dyDescent="0.3">
      <c r="A57" s="1">
        <v>17833</v>
      </c>
      <c r="B57" s="4">
        <v>43920</v>
      </c>
      <c r="C57">
        <v>2244</v>
      </c>
      <c r="D57">
        <v>2244</v>
      </c>
      <c r="E57">
        <v>2244</v>
      </c>
      <c r="F57">
        <v>2244</v>
      </c>
      <c r="G57">
        <v>20000</v>
      </c>
      <c r="H57" t="s">
        <v>35</v>
      </c>
      <c r="I57" t="s">
        <v>36</v>
      </c>
      <c r="J57">
        <v>0.7</v>
      </c>
      <c r="K57">
        <v>-0.36930860033726809</v>
      </c>
      <c r="L57">
        <v>-6.9308600337268045E-2</v>
      </c>
    </row>
    <row r="58" spans="1:13" x14ac:dyDescent="0.3">
      <c r="A58" s="1">
        <v>18258</v>
      </c>
      <c r="B58" s="4">
        <v>44246</v>
      </c>
      <c r="C58">
        <v>2948.5</v>
      </c>
      <c r="D58">
        <v>3000</v>
      </c>
      <c r="E58">
        <v>2850</v>
      </c>
      <c r="F58">
        <v>2851.5</v>
      </c>
      <c r="G58">
        <v>213</v>
      </c>
      <c r="H58" t="s">
        <v>37</v>
      </c>
      <c r="I58" t="s">
        <v>26</v>
      </c>
      <c r="J58">
        <v>0.85</v>
      </c>
      <c r="K58">
        <v>-0.240612516644474</v>
      </c>
      <c r="L58">
        <v>-9.0612516644474006E-2</v>
      </c>
    </row>
    <row r="59" spans="1:13" x14ac:dyDescent="0.3">
      <c r="A59" s="1">
        <v>18844</v>
      </c>
      <c r="B59" s="6">
        <v>45315</v>
      </c>
      <c r="C59" s="7">
        <v>10697.5</v>
      </c>
      <c r="D59" s="7">
        <v>11183.5</v>
      </c>
      <c r="E59" s="7">
        <v>10567.5</v>
      </c>
      <c r="F59" s="7">
        <v>10653</v>
      </c>
      <c r="G59" s="7">
        <v>446</v>
      </c>
      <c r="H59" s="7" t="s">
        <v>37</v>
      </c>
      <c r="I59" s="7" t="s">
        <v>26</v>
      </c>
      <c r="J59" s="7">
        <v>0.85</v>
      </c>
      <c r="K59" s="7">
        <v>-0.50489159482257806</v>
      </c>
      <c r="L59" s="7">
        <v>-0.35489159482257798</v>
      </c>
      <c r="M59" s="7" t="s">
        <v>329</v>
      </c>
    </row>
    <row r="60" spans="1:13" x14ac:dyDescent="0.3">
      <c r="A60" s="1">
        <v>19551</v>
      </c>
      <c r="B60" s="6">
        <v>41654</v>
      </c>
      <c r="C60" s="7">
        <v>1.92</v>
      </c>
      <c r="D60" s="7">
        <v>1.92</v>
      </c>
      <c r="E60" s="7">
        <v>1.8</v>
      </c>
      <c r="F60" s="7">
        <v>1.8</v>
      </c>
      <c r="G60" s="7">
        <v>36082</v>
      </c>
      <c r="H60" s="7" t="s">
        <v>38</v>
      </c>
      <c r="I60" s="7" t="s">
        <v>15</v>
      </c>
      <c r="J60" s="7">
        <v>0.7</v>
      </c>
      <c r="K60" s="7">
        <v>-0.5</v>
      </c>
      <c r="L60" s="7">
        <v>-0.2</v>
      </c>
      <c r="M60" s="7" t="s">
        <v>329</v>
      </c>
    </row>
    <row r="61" spans="1:13" x14ac:dyDescent="0.3">
      <c r="A61" s="1">
        <v>20466</v>
      </c>
      <c r="B61" s="6">
        <v>43032</v>
      </c>
      <c r="C61" s="7">
        <v>29</v>
      </c>
      <c r="D61" s="7">
        <v>30.9</v>
      </c>
      <c r="E61" s="7">
        <v>28.65</v>
      </c>
      <c r="F61" s="7">
        <v>29.3</v>
      </c>
      <c r="G61" s="7">
        <v>893508</v>
      </c>
      <c r="H61" s="7" t="s">
        <v>38</v>
      </c>
      <c r="I61" s="7" t="s">
        <v>15</v>
      </c>
      <c r="J61" s="7">
        <v>0.7</v>
      </c>
      <c r="K61" s="7">
        <v>-0.3217592592592593</v>
      </c>
      <c r="L61" s="7">
        <v>-2.1759259259259259E-2</v>
      </c>
      <c r="M61" s="7" t="s">
        <v>329</v>
      </c>
    </row>
    <row r="62" spans="1:13" x14ac:dyDescent="0.3">
      <c r="A62" s="1">
        <v>20899</v>
      </c>
      <c r="B62" s="4">
        <v>43689</v>
      </c>
      <c r="C62">
        <v>9.3000000000000007</v>
      </c>
      <c r="D62">
        <v>9.3000000000000007</v>
      </c>
      <c r="E62">
        <v>5.0999999999999996</v>
      </c>
      <c r="F62">
        <v>7.4</v>
      </c>
      <c r="G62">
        <v>367814</v>
      </c>
      <c r="H62" t="s">
        <v>38</v>
      </c>
      <c r="I62" t="s">
        <v>15</v>
      </c>
      <c r="J62">
        <v>0.7</v>
      </c>
      <c r="K62">
        <v>-0.32420091324200911</v>
      </c>
      <c r="L62">
        <v>-2.4200913242009011E-2</v>
      </c>
    </row>
    <row r="63" spans="1:13" x14ac:dyDescent="0.3">
      <c r="A63" s="1">
        <v>21915</v>
      </c>
      <c r="B63" s="6">
        <v>45233</v>
      </c>
      <c r="C63" s="7">
        <v>22.05</v>
      </c>
      <c r="D63" s="7">
        <v>31.8</v>
      </c>
      <c r="E63" s="7">
        <v>22.05</v>
      </c>
      <c r="F63" s="7">
        <v>29.15</v>
      </c>
      <c r="G63" s="7">
        <v>4038692</v>
      </c>
      <c r="H63" s="7" t="s">
        <v>38</v>
      </c>
      <c r="I63" s="7" t="s">
        <v>39</v>
      </c>
      <c r="J63" s="7">
        <v>0.5</v>
      </c>
      <c r="K63" s="7">
        <v>-0.88432539682539679</v>
      </c>
      <c r="L63" s="7">
        <v>-0.38432539682539679</v>
      </c>
      <c r="M63" s="7" t="s">
        <v>329</v>
      </c>
    </row>
    <row r="64" spans="1:13" x14ac:dyDescent="0.3">
      <c r="A64" s="1">
        <v>22470</v>
      </c>
      <c r="B64" s="4">
        <v>43902</v>
      </c>
      <c r="C64">
        <v>505</v>
      </c>
      <c r="D64">
        <v>520.5</v>
      </c>
      <c r="E64">
        <v>472</v>
      </c>
      <c r="F64">
        <v>472</v>
      </c>
      <c r="G64">
        <v>315</v>
      </c>
      <c r="H64" t="s">
        <v>40</v>
      </c>
      <c r="I64" t="s">
        <v>26</v>
      </c>
      <c r="J64">
        <v>0.85</v>
      </c>
      <c r="K64">
        <v>-0.18760757314974191</v>
      </c>
      <c r="L64">
        <v>-3.7607573149741842E-2</v>
      </c>
    </row>
    <row r="65" spans="1:13" x14ac:dyDescent="0.3">
      <c r="A65" s="1">
        <v>22474</v>
      </c>
      <c r="B65" s="4">
        <v>43908</v>
      </c>
      <c r="C65">
        <v>380</v>
      </c>
      <c r="D65">
        <v>380</v>
      </c>
      <c r="E65">
        <v>296</v>
      </c>
      <c r="F65">
        <v>299.5</v>
      </c>
      <c r="G65">
        <v>135</v>
      </c>
      <c r="H65" t="s">
        <v>40</v>
      </c>
      <c r="I65" t="s">
        <v>26</v>
      </c>
      <c r="J65">
        <v>0.85</v>
      </c>
      <c r="K65">
        <v>-0.1970509383378016</v>
      </c>
      <c r="L65">
        <v>-4.7050938337801607E-2</v>
      </c>
    </row>
    <row r="66" spans="1:13" x14ac:dyDescent="0.3">
      <c r="A66" s="1">
        <v>22480</v>
      </c>
      <c r="B66" s="4">
        <v>43923</v>
      </c>
      <c r="C66">
        <v>379.5</v>
      </c>
      <c r="D66">
        <v>381.5</v>
      </c>
      <c r="E66">
        <v>374</v>
      </c>
      <c r="F66">
        <v>380.5</v>
      </c>
      <c r="G66">
        <v>625</v>
      </c>
      <c r="H66" t="s">
        <v>40</v>
      </c>
      <c r="I66" t="s">
        <v>26</v>
      </c>
      <c r="J66">
        <v>0.85</v>
      </c>
      <c r="K66">
        <v>-0.19042553191489359</v>
      </c>
      <c r="L66">
        <v>-4.042553191489362E-2</v>
      </c>
    </row>
    <row r="67" spans="1:13" x14ac:dyDescent="0.3">
      <c r="A67" s="1">
        <v>22524</v>
      </c>
      <c r="B67" s="4">
        <v>43993</v>
      </c>
      <c r="C67">
        <v>780</v>
      </c>
      <c r="D67">
        <v>780</v>
      </c>
      <c r="E67">
        <v>715</v>
      </c>
      <c r="F67">
        <v>744.5</v>
      </c>
      <c r="G67">
        <v>1980</v>
      </c>
      <c r="H67" t="s">
        <v>40</v>
      </c>
      <c r="I67" t="s">
        <v>26</v>
      </c>
      <c r="J67">
        <v>0.85</v>
      </c>
      <c r="K67">
        <v>-0.16348314606741579</v>
      </c>
      <c r="L67">
        <v>-1.3483146067415739E-2</v>
      </c>
    </row>
    <row r="68" spans="1:13" x14ac:dyDescent="0.3">
      <c r="A68" s="1">
        <v>24980</v>
      </c>
      <c r="B68" s="4">
        <v>45035</v>
      </c>
      <c r="C68">
        <v>9995</v>
      </c>
      <c r="D68">
        <v>9999</v>
      </c>
      <c r="E68">
        <v>8900</v>
      </c>
      <c r="F68">
        <v>8900</v>
      </c>
      <c r="G68">
        <v>98030270</v>
      </c>
      <c r="H68" t="s">
        <v>41</v>
      </c>
      <c r="I68" t="s">
        <v>25</v>
      </c>
      <c r="J68">
        <v>0.9</v>
      </c>
      <c r="K68">
        <v>-0.10732196589769311</v>
      </c>
      <c r="L68">
        <v>-7.3219658976930724E-3</v>
      </c>
    </row>
    <row r="69" spans="1:13" x14ac:dyDescent="0.3">
      <c r="A69" s="1">
        <v>30542</v>
      </c>
      <c r="B69" s="4">
        <v>43719</v>
      </c>
      <c r="C69">
        <v>62</v>
      </c>
      <c r="D69">
        <v>62</v>
      </c>
      <c r="E69">
        <v>57.5</v>
      </c>
      <c r="F69">
        <v>57.5</v>
      </c>
      <c r="G69">
        <v>68457</v>
      </c>
      <c r="H69" t="s">
        <v>42</v>
      </c>
      <c r="I69" t="s">
        <v>15</v>
      </c>
      <c r="J69">
        <v>0.8</v>
      </c>
      <c r="K69">
        <v>-0.34659090909090912</v>
      </c>
      <c r="L69">
        <v>-0.14659090909090911</v>
      </c>
    </row>
    <row r="70" spans="1:13" x14ac:dyDescent="0.3">
      <c r="A70" s="1">
        <v>30595</v>
      </c>
      <c r="B70" s="4">
        <v>43797</v>
      </c>
      <c r="C70">
        <v>61.5</v>
      </c>
      <c r="D70">
        <v>61.75</v>
      </c>
      <c r="E70">
        <v>60.5</v>
      </c>
      <c r="F70">
        <v>60.5</v>
      </c>
      <c r="G70">
        <v>572870</v>
      </c>
      <c r="H70" t="s">
        <v>42</v>
      </c>
      <c r="I70" t="s">
        <v>15</v>
      </c>
      <c r="J70">
        <v>0.8</v>
      </c>
      <c r="K70">
        <v>-0.20915032679738571</v>
      </c>
      <c r="L70">
        <v>-9.1503267973856994E-3</v>
      </c>
    </row>
    <row r="71" spans="1:13" x14ac:dyDescent="0.3">
      <c r="A71" s="1">
        <v>32156</v>
      </c>
      <c r="B71" s="4">
        <v>44845</v>
      </c>
      <c r="C71">
        <v>35205</v>
      </c>
      <c r="D71">
        <v>36140.5</v>
      </c>
      <c r="E71">
        <v>34671</v>
      </c>
      <c r="F71">
        <v>35010</v>
      </c>
      <c r="G71">
        <v>9559</v>
      </c>
      <c r="H71" t="s">
        <v>43</v>
      </c>
      <c r="I71" t="s">
        <v>26</v>
      </c>
      <c r="J71">
        <v>0.85</v>
      </c>
      <c r="K71">
        <v>-0.16320091782589979</v>
      </c>
      <c r="L71">
        <v>-1.3200917825899831E-2</v>
      </c>
    </row>
    <row r="72" spans="1:13" x14ac:dyDescent="0.3">
      <c r="A72" s="1">
        <v>32183</v>
      </c>
      <c r="B72" s="6">
        <v>44882</v>
      </c>
      <c r="C72" s="7">
        <v>2340</v>
      </c>
      <c r="D72" s="7">
        <v>2477</v>
      </c>
      <c r="E72" s="7">
        <v>2340</v>
      </c>
      <c r="F72" s="7">
        <v>2473</v>
      </c>
      <c r="G72" s="7">
        <v>20549</v>
      </c>
      <c r="H72" s="7" t="s">
        <v>43</v>
      </c>
      <c r="I72" s="7" t="s">
        <v>26</v>
      </c>
      <c r="J72" s="7">
        <v>0.85</v>
      </c>
      <c r="K72" s="7">
        <v>-0.94758927625304656</v>
      </c>
      <c r="L72" s="7">
        <v>-0.79758927625304654</v>
      </c>
      <c r="M72" s="7" t="s">
        <v>329</v>
      </c>
    </row>
    <row r="73" spans="1:13" x14ac:dyDescent="0.3">
      <c r="A73" s="1">
        <v>32617</v>
      </c>
      <c r="B73" s="6">
        <v>44126</v>
      </c>
      <c r="C73" s="7">
        <v>4135</v>
      </c>
      <c r="D73" s="7">
        <v>4167</v>
      </c>
      <c r="E73" s="7">
        <v>4039</v>
      </c>
      <c r="F73" s="7">
        <v>4109</v>
      </c>
      <c r="G73" s="7">
        <v>62</v>
      </c>
      <c r="H73" s="7" t="s">
        <v>44</v>
      </c>
      <c r="I73" s="7" t="s">
        <v>26</v>
      </c>
      <c r="J73" s="7">
        <v>0.85</v>
      </c>
      <c r="K73" s="7">
        <v>-0.50133495145631068</v>
      </c>
      <c r="L73" s="7">
        <v>-0.35133495145631072</v>
      </c>
      <c r="M73" s="7" t="s">
        <v>329</v>
      </c>
    </row>
    <row r="74" spans="1:13" x14ac:dyDescent="0.3">
      <c r="A74" s="1">
        <v>33393</v>
      </c>
      <c r="B74" s="6">
        <v>45315</v>
      </c>
      <c r="C74" s="7">
        <v>13448</v>
      </c>
      <c r="D74" s="7">
        <v>13475.5</v>
      </c>
      <c r="E74" s="7">
        <v>12932.5</v>
      </c>
      <c r="F74" s="7">
        <v>13214.5</v>
      </c>
      <c r="G74" s="7">
        <v>382</v>
      </c>
      <c r="H74" s="7" t="s">
        <v>44</v>
      </c>
      <c r="I74" s="7" t="s">
        <v>26</v>
      </c>
      <c r="J74" s="7">
        <v>0.85</v>
      </c>
      <c r="K74" s="7">
        <v>-0.66769350701604391</v>
      </c>
      <c r="L74" s="7">
        <v>-0.51769350701604389</v>
      </c>
      <c r="M74" s="7" t="s">
        <v>329</v>
      </c>
    </row>
    <row r="75" spans="1:13" x14ac:dyDescent="0.3">
      <c r="A75" s="1">
        <v>34728</v>
      </c>
      <c r="B75" s="6">
        <v>44126</v>
      </c>
      <c r="C75" s="7">
        <v>3980</v>
      </c>
      <c r="D75" s="7">
        <v>4150</v>
      </c>
      <c r="E75" s="7">
        <v>3800</v>
      </c>
      <c r="F75" s="7">
        <v>4112</v>
      </c>
      <c r="G75" s="7">
        <v>46689</v>
      </c>
      <c r="H75" s="7" t="s">
        <v>45</v>
      </c>
      <c r="I75" s="7" t="s">
        <v>12</v>
      </c>
      <c r="J75" s="7">
        <v>0.7</v>
      </c>
      <c r="K75" s="7">
        <v>-0.48227887944601822</v>
      </c>
      <c r="L75" s="7">
        <v>-0.1822788794460182</v>
      </c>
      <c r="M75" s="7" t="s">
        <v>329</v>
      </c>
    </row>
    <row r="76" spans="1:13" x14ac:dyDescent="0.3">
      <c r="A76" s="1">
        <v>35113</v>
      </c>
      <c r="B76" s="6">
        <v>44718</v>
      </c>
      <c r="C76" s="7">
        <v>185.5</v>
      </c>
      <c r="D76" s="7">
        <v>190</v>
      </c>
      <c r="E76" s="7">
        <v>180.5</v>
      </c>
      <c r="F76" s="7">
        <v>182.75</v>
      </c>
      <c r="G76" s="7">
        <v>311209</v>
      </c>
      <c r="H76" s="7" t="s">
        <v>45</v>
      </c>
      <c r="I76" s="7" t="s">
        <v>12</v>
      </c>
      <c r="J76" s="7">
        <v>0.7</v>
      </c>
      <c r="K76" s="7">
        <v>-0.94875210319685921</v>
      </c>
      <c r="L76" s="7">
        <v>-0.64875210319685916</v>
      </c>
      <c r="M76" s="7" t="s">
        <v>329</v>
      </c>
    </row>
    <row r="77" spans="1:13" x14ac:dyDescent="0.3">
      <c r="A77" s="1">
        <v>37677</v>
      </c>
      <c r="B77" s="4">
        <v>43689</v>
      </c>
      <c r="C77">
        <v>4250</v>
      </c>
      <c r="D77">
        <v>4267</v>
      </c>
      <c r="E77">
        <v>3700</v>
      </c>
      <c r="F77">
        <v>3840</v>
      </c>
      <c r="G77">
        <v>2652955</v>
      </c>
      <c r="H77" t="s">
        <v>46</v>
      </c>
      <c r="I77" t="s">
        <v>12</v>
      </c>
      <c r="J77">
        <v>0.9</v>
      </c>
      <c r="K77">
        <v>-0.10070257611241221</v>
      </c>
      <c r="L77">
        <v>-7.0257611241220097E-4</v>
      </c>
    </row>
    <row r="78" spans="1:13" x14ac:dyDescent="0.3">
      <c r="A78" s="1">
        <v>37690</v>
      </c>
      <c r="B78" s="4">
        <v>43707</v>
      </c>
      <c r="C78">
        <v>2496</v>
      </c>
      <c r="D78">
        <v>2600</v>
      </c>
      <c r="E78">
        <v>2300</v>
      </c>
      <c r="F78">
        <v>2422.0749999999998</v>
      </c>
      <c r="G78">
        <v>26707320</v>
      </c>
      <c r="H78" t="s">
        <v>46</v>
      </c>
      <c r="I78" t="s">
        <v>12</v>
      </c>
      <c r="J78">
        <v>0.9</v>
      </c>
      <c r="K78">
        <v>-0.16065419815848669</v>
      </c>
      <c r="L78">
        <v>-6.0654198158486723E-2</v>
      </c>
    </row>
    <row r="79" spans="1:13" x14ac:dyDescent="0.3">
      <c r="A79" s="1">
        <v>37825</v>
      </c>
      <c r="B79" s="4">
        <v>43908</v>
      </c>
      <c r="C79">
        <v>2698</v>
      </c>
      <c r="D79">
        <v>2698</v>
      </c>
      <c r="E79">
        <v>2222.5</v>
      </c>
      <c r="F79">
        <v>2369</v>
      </c>
      <c r="G79">
        <v>2103473</v>
      </c>
      <c r="H79" t="s">
        <v>46</v>
      </c>
      <c r="I79" t="s">
        <v>12</v>
      </c>
      <c r="J79">
        <v>0.9</v>
      </c>
      <c r="K79">
        <v>-0.10939849624060149</v>
      </c>
      <c r="L79">
        <v>-9.3984962406015171E-3</v>
      </c>
    </row>
    <row r="80" spans="1:13" x14ac:dyDescent="0.3">
      <c r="A80" s="1">
        <v>37835</v>
      </c>
      <c r="B80" s="4">
        <v>43927</v>
      </c>
      <c r="C80">
        <v>2630</v>
      </c>
      <c r="D80">
        <v>2630</v>
      </c>
      <c r="E80">
        <v>2250</v>
      </c>
      <c r="F80">
        <v>2510</v>
      </c>
      <c r="G80">
        <v>3023399</v>
      </c>
      <c r="H80" t="s">
        <v>46</v>
      </c>
      <c r="I80" t="s">
        <v>12</v>
      </c>
      <c r="J80">
        <v>0.9</v>
      </c>
      <c r="K80">
        <v>-0.11619718309859151</v>
      </c>
      <c r="L80">
        <v>-1.6197183098591531E-2</v>
      </c>
    </row>
    <row r="81" spans="1:13" x14ac:dyDescent="0.3">
      <c r="A81" s="1">
        <v>37946</v>
      </c>
      <c r="B81" s="4">
        <v>44097</v>
      </c>
      <c r="C81">
        <v>4490</v>
      </c>
      <c r="D81">
        <v>4490</v>
      </c>
      <c r="E81">
        <v>3840</v>
      </c>
      <c r="F81">
        <v>3840</v>
      </c>
      <c r="G81">
        <v>1811</v>
      </c>
      <c r="H81" t="s">
        <v>46</v>
      </c>
      <c r="I81" t="s">
        <v>12</v>
      </c>
      <c r="J81">
        <v>0.9</v>
      </c>
      <c r="K81">
        <v>-0.1447661469933185</v>
      </c>
      <c r="L81">
        <v>-4.476614699331849E-2</v>
      </c>
    </row>
    <row r="82" spans="1:13" x14ac:dyDescent="0.3">
      <c r="A82" s="1">
        <v>40378</v>
      </c>
      <c r="B82" s="4">
        <v>43906</v>
      </c>
      <c r="C82">
        <v>1016</v>
      </c>
      <c r="D82">
        <v>1016</v>
      </c>
      <c r="E82">
        <v>722</v>
      </c>
      <c r="F82">
        <v>723.5</v>
      </c>
      <c r="G82">
        <v>3200</v>
      </c>
      <c r="H82" t="s">
        <v>47</v>
      </c>
      <c r="I82" t="s">
        <v>26</v>
      </c>
      <c r="J82">
        <v>0.85</v>
      </c>
      <c r="K82">
        <v>-0.28719211822660101</v>
      </c>
      <c r="L82">
        <v>-0.13719211822660091</v>
      </c>
    </row>
    <row r="83" spans="1:13" x14ac:dyDescent="0.3">
      <c r="A83" s="1">
        <v>40380</v>
      </c>
      <c r="B83" s="4">
        <v>43908</v>
      </c>
      <c r="C83">
        <v>720</v>
      </c>
      <c r="D83">
        <v>762</v>
      </c>
      <c r="E83">
        <v>558.5</v>
      </c>
      <c r="F83">
        <v>586</v>
      </c>
      <c r="G83">
        <v>1952</v>
      </c>
      <c r="H83" t="s">
        <v>47</v>
      </c>
      <c r="I83" t="s">
        <v>26</v>
      </c>
      <c r="J83">
        <v>0.85</v>
      </c>
      <c r="K83">
        <v>-0.16285714285714281</v>
      </c>
      <c r="L83">
        <v>-1.2857142857142789E-2</v>
      </c>
    </row>
    <row r="84" spans="1:13" x14ac:dyDescent="0.3">
      <c r="A84" s="1">
        <v>40432</v>
      </c>
      <c r="B84" s="4">
        <v>43993</v>
      </c>
      <c r="C84">
        <v>1072</v>
      </c>
      <c r="D84">
        <v>1072</v>
      </c>
      <c r="E84">
        <v>955</v>
      </c>
      <c r="F84">
        <v>989.5</v>
      </c>
      <c r="G84">
        <v>8449</v>
      </c>
      <c r="H84" t="s">
        <v>47</v>
      </c>
      <c r="I84" t="s">
        <v>26</v>
      </c>
      <c r="J84">
        <v>0.85</v>
      </c>
      <c r="K84">
        <v>-0.1589460263493413</v>
      </c>
      <c r="L84">
        <v>-8.9460263493412739E-3</v>
      </c>
    </row>
    <row r="85" spans="1:13" x14ac:dyDescent="0.3">
      <c r="A85" s="1">
        <v>41316</v>
      </c>
      <c r="B85" s="4">
        <v>45342</v>
      </c>
      <c r="C85">
        <v>31580</v>
      </c>
      <c r="D85">
        <v>31580</v>
      </c>
      <c r="E85">
        <v>25898</v>
      </c>
      <c r="F85">
        <v>26186</v>
      </c>
      <c r="G85">
        <v>1243</v>
      </c>
      <c r="H85" t="s">
        <v>47</v>
      </c>
      <c r="I85" t="s">
        <v>26</v>
      </c>
      <c r="J85">
        <v>0.85</v>
      </c>
      <c r="K85">
        <v>-0.17080430652311579</v>
      </c>
      <c r="L85">
        <v>-2.080430652311582E-2</v>
      </c>
    </row>
    <row r="86" spans="1:13" x14ac:dyDescent="0.3">
      <c r="A86" s="1">
        <v>41962</v>
      </c>
      <c r="B86" s="6">
        <v>44883</v>
      </c>
      <c r="C86" s="7">
        <v>4080</v>
      </c>
      <c r="D86" s="7">
        <v>4080</v>
      </c>
      <c r="E86" s="7">
        <v>3998</v>
      </c>
      <c r="F86" s="7">
        <v>4047.5</v>
      </c>
      <c r="G86" s="7">
        <v>57</v>
      </c>
      <c r="H86" s="7" t="s">
        <v>48</v>
      </c>
      <c r="I86" s="7" t="s">
        <v>26</v>
      </c>
      <c r="J86" s="7">
        <v>0.85</v>
      </c>
      <c r="K86" s="7">
        <v>-0.87137318460609525</v>
      </c>
      <c r="L86" s="7">
        <v>-0.72137318460609523</v>
      </c>
      <c r="M86" s="7" t="s">
        <v>329</v>
      </c>
    </row>
    <row r="87" spans="1:13" x14ac:dyDescent="0.3">
      <c r="A87" s="1">
        <v>42093</v>
      </c>
      <c r="B87" s="4">
        <v>45257</v>
      </c>
      <c r="C87">
        <v>11125</v>
      </c>
      <c r="D87">
        <v>11125</v>
      </c>
      <c r="E87">
        <v>8800</v>
      </c>
      <c r="F87">
        <v>9185.5</v>
      </c>
      <c r="G87">
        <v>74</v>
      </c>
      <c r="H87" t="s">
        <v>48</v>
      </c>
      <c r="I87" t="s">
        <v>26</v>
      </c>
      <c r="J87">
        <v>0.85</v>
      </c>
      <c r="K87">
        <v>-0.17433707865168541</v>
      </c>
      <c r="L87">
        <v>-2.4337078651685329E-2</v>
      </c>
    </row>
    <row r="88" spans="1:13" x14ac:dyDescent="0.3">
      <c r="A88" s="1">
        <v>44777</v>
      </c>
      <c r="B88" s="6">
        <v>41589</v>
      </c>
      <c r="C88" s="7">
        <v>85.05</v>
      </c>
      <c r="D88" s="7">
        <v>85.05</v>
      </c>
      <c r="E88" s="7">
        <v>85.05</v>
      </c>
      <c r="F88" s="7">
        <v>85.05</v>
      </c>
      <c r="G88" s="7">
        <v>4000</v>
      </c>
      <c r="H88" s="7" t="s">
        <v>49</v>
      </c>
      <c r="I88" s="7" t="s">
        <v>12</v>
      </c>
      <c r="J88" s="7">
        <v>0.7</v>
      </c>
      <c r="K88" s="7">
        <v>-0.31576830249396631</v>
      </c>
      <c r="L88" s="7">
        <v>-1.576830249396621E-2</v>
      </c>
      <c r="M88" s="7" t="s">
        <v>331</v>
      </c>
    </row>
    <row r="89" spans="1:13" x14ac:dyDescent="0.3">
      <c r="A89" s="1">
        <v>44786</v>
      </c>
      <c r="B89" s="6">
        <v>41939</v>
      </c>
      <c r="C89" s="7">
        <v>71.900000000000006</v>
      </c>
      <c r="D89" s="7">
        <v>71.900000000000006</v>
      </c>
      <c r="E89" s="7">
        <v>71.900000000000006</v>
      </c>
      <c r="F89" s="7">
        <v>71.900000000000006</v>
      </c>
      <c r="G89" s="7">
        <v>5000</v>
      </c>
      <c r="H89" s="7" t="s">
        <v>49</v>
      </c>
      <c r="I89" s="7" t="s">
        <v>12</v>
      </c>
      <c r="J89" s="7">
        <v>0.7</v>
      </c>
      <c r="K89" s="7">
        <v>-0.32991612301957118</v>
      </c>
      <c r="L89" s="7">
        <v>-2.9916123019571139E-2</v>
      </c>
      <c r="M89" s="7" t="s">
        <v>331</v>
      </c>
    </row>
    <row r="90" spans="1:13" x14ac:dyDescent="0.3">
      <c r="A90" s="1">
        <v>44787</v>
      </c>
      <c r="B90" s="6">
        <v>42080</v>
      </c>
      <c r="C90" s="7">
        <v>45.3</v>
      </c>
      <c r="D90" s="7">
        <v>45.3</v>
      </c>
      <c r="E90" s="7">
        <v>45.3</v>
      </c>
      <c r="F90" s="7">
        <v>45.3</v>
      </c>
      <c r="G90" s="7">
        <v>435</v>
      </c>
      <c r="H90" s="7" t="s">
        <v>49</v>
      </c>
      <c r="I90" s="7" t="s">
        <v>12</v>
      </c>
      <c r="J90" s="7">
        <v>0.7</v>
      </c>
      <c r="K90" s="7">
        <v>-0.36995827538247572</v>
      </c>
      <c r="L90" s="7">
        <v>-6.9958275382475676E-2</v>
      </c>
      <c r="M90" s="7" t="s">
        <v>331</v>
      </c>
    </row>
    <row r="91" spans="1:13" x14ac:dyDescent="0.3">
      <c r="A91" s="1">
        <v>46573</v>
      </c>
      <c r="B91" s="6">
        <v>44882</v>
      </c>
      <c r="C91" s="7">
        <v>3405</v>
      </c>
      <c r="D91" s="7">
        <v>3470</v>
      </c>
      <c r="E91" s="7">
        <v>3400</v>
      </c>
      <c r="F91" s="7">
        <v>3459.5</v>
      </c>
      <c r="G91" s="7">
        <v>6734</v>
      </c>
      <c r="H91" s="7" t="s">
        <v>50</v>
      </c>
      <c r="I91" s="7" t="s">
        <v>26</v>
      </c>
      <c r="J91" s="7">
        <v>0.85</v>
      </c>
      <c r="K91" s="7">
        <v>-0.82871218497796706</v>
      </c>
      <c r="L91" s="7">
        <v>-0.67871218497796704</v>
      </c>
      <c r="M91" s="7" t="s">
        <v>329</v>
      </c>
    </row>
    <row r="92" spans="1:13" x14ac:dyDescent="0.3">
      <c r="A92" s="1">
        <v>46973</v>
      </c>
      <c r="B92" s="4">
        <v>42395</v>
      </c>
      <c r="C92">
        <v>79.5</v>
      </c>
      <c r="D92">
        <v>79.5</v>
      </c>
      <c r="E92">
        <v>79.5</v>
      </c>
      <c r="F92">
        <v>79.5</v>
      </c>
      <c r="G92">
        <v>43000</v>
      </c>
      <c r="H92" t="s">
        <v>51</v>
      </c>
      <c r="I92" t="s">
        <v>26</v>
      </c>
      <c r="J92">
        <v>0.85</v>
      </c>
      <c r="K92">
        <v>-0.16315789473684211</v>
      </c>
      <c r="L92">
        <v>-1.315789473684204E-2</v>
      </c>
    </row>
    <row r="93" spans="1:13" x14ac:dyDescent="0.3">
      <c r="A93" s="1">
        <v>47148</v>
      </c>
      <c r="B93" s="4">
        <v>43908</v>
      </c>
      <c r="C93">
        <v>1399</v>
      </c>
      <c r="D93">
        <v>1399</v>
      </c>
      <c r="E93">
        <v>1225.5</v>
      </c>
      <c r="F93">
        <v>1280</v>
      </c>
      <c r="G93">
        <v>560</v>
      </c>
      <c r="H93" t="s">
        <v>51</v>
      </c>
      <c r="I93" t="s">
        <v>26</v>
      </c>
      <c r="J93">
        <v>0.85</v>
      </c>
      <c r="K93">
        <v>-0.150066401062417</v>
      </c>
      <c r="L93">
        <v>-6.6401062416954204E-5</v>
      </c>
    </row>
    <row r="94" spans="1:13" x14ac:dyDescent="0.3">
      <c r="A94" s="1">
        <v>47784</v>
      </c>
      <c r="B94" s="6">
        <v>44882</v>
      </c>
      <c r="C94" s="7">
        <v>3293.5</v>
      </c>
      <c r="D94" s="7">
        <v>3376.5</v>
      </c>
      <c r="E94" s="7">
        <v>3280</v>
      </c>
      <c r="F94" s="7">
        <v>3370</v>
      </c>
      <c r="G94" s="7">
        <v>582</v>
      </c>
      <c r="H94" s="7" t="s">
        <v>51</v>
      </c>
      <c r="I94" s="7" t="s">
        <v>26</v>
      </c>
      <c r="J94" s="7">
        <v>0.85</v>
      </c>
      <c r="K94" s="7">
        <v>-0.66045340050377832</v>
      </c>
      <c r="L94" s="7">
        <v>-0.5104534005037783</v>
      </c>
      <c r="M94" s="7" t="s">
        <v>329</v>
      </c>
    </row>
    <row r="95" spans="1:13" x14ac:dyDescent="0.3">
      <c r="A95" s="1">
        <v>49359</v>
      </c>
      <c r="B95" s="6">
        <v>43588</v>
      </c>
      <c r="C95" s="7">
        <v>3055</v>
      </c>
      <c r="D95" s="7">
        <v>3100</v>
      </c>
      <c r="E95" s="7">
        <v>3055</v>
      </c>
      <c r="F95" s="7">
        <v>3065.2979999999998</v>
      </c>
      <c r="G95" s="7">
        <v>16713607</v>
      </c>
      <c r="H95" s="7" t="s">
        <v>52</v>
      </c>
      <c r="I95" s="7" t="s">
        <v>12</v>
      </c>
      <c r="J95" s="7">
        <v>0.9</v>
      </c>
      <c r="K95" s="7">
        <v>-0.2307909661229611</v>
      </c>
      <c r="L95" s="7">
        <v>-0.13079096612296109</v>
      </c>
      <c r="M95" s="7" t="s">
        <v>330</v>
      </c>
    </row>
    <row r="96" spans="1:13" x14ac:dyDescent="0.3">
      <c r="A96" s="1">
        <v>49426</v>
      </c>
      <c r="B96" s="4">
        <v>43689</v>
      </c>
      <c r="C96">
        <v>3100</v>
      </c>
      <c r="D96">
        <v>3240</v>
      </c>
      <c r="E96">
        <v>2705</v>
      </c>
      <c r="F96">
        <v>2730</v>
      </c>
      <c r="G96">
        <v>44798966</v>
      </c>
      <c r="H96" t="s">
        <v>52</v>
      </c>
      <c r="I96" t="s">
        <v>12</v>
      </c>
      <c r="J96">
        <v>0.9</v>
      </c>
      <c r="K96">
        <v>-0.18991097922848671</v>
      </c>
      <c r="L96">
        <v>-8.9910979228486676E-2</v>
      </c>
    </row>
    <row r="97" spans="1:13" x14ac:dyDescent="0.3">
      <c r="A97" s="1">
        <v>49574</v>
      </c>
      <c r="B97" s="4">
        <v>43908</v>
      </c>
      <c r="C97">
        <v>2400</v>
      </c>
      <c r="D97">
        <v>2419.5</v>
      </c>
      <c r="E97">
        <v>2110</v>
      </c>
      <c r="F97">
        <v>2207</v>
      </c>
      <c r="G97">
        <v>45946588</v>
      </c>
      <c r="H97" t="s">
        <v>52</v>
      </c>
      <c r="I97" t="s">
        <v>12</v>
      </c>
      <c r="J97">
        <v>0.9</v>
      </c>
      <c r="K97">
        <v>-0.10284552845528459</v>
      </c>
      <c r="L97">
        <v>-2.845528455284629E-3</v>
      </c>
    </row>
    <row r="98" spans="1:13" x14ac:dyDescent="0.3">
      <c r="A98" s="1">
        <v>49693</v>
      </c>
      <c r="B98" s="4">
        <v>44091</v>
      </c>
      <c r="C98">
        <v>4800</v>
      </c>
      <c r="D98">
        <v>4800</v>
      </c>
      <c r="E98">
        <v>3612.5</v>
      </c>
      <c r="F98">
        <v>3700</v>
      </c>
      <c r="G98">
        <v>388084</v>
      </c>
      <c r="H98" t="s">
        <v>52</v>
      </c>
      <c r="I98" t="s">
        <v>12</v>
      </c>
      <c r="J98">
        <v>0.9</v>
      </c>
      <c r="K98">
        <v>-0.23711340206185569</v>
      </c>
      <c r="L98">
        <v>-0.13711340206185571</v>
      </c>
    </row>
    <row r="99" spans="1:13" x14ac:dyDescent="0.3">
      <c r="A99" s="1">
        <v>49994</v>
      </c>
      <c r="B99" s="6">
        <v>41450</v>
      </c>
      <c r="C99" s="7">
        <v>194.3</v>
      </c>
      <c r="D99" s="7">
        <v>194.3</v>
      </c>
      <c r="E99" s="7">
        <v>194.3</v>
      </c>
      <c r="F99" s="7">
        <v>194.3</v>
      </c>
      <c r="G99" s="7">
        <v>200</v>
      </c>
      <c r="H99" s="7" t="s">
        <v>53</v>
      </c>
      <c r="I99" s="7" t="s">
        <v>26</v>
      </c>
      <c r="J99" s="7">
        <v>0.85</v>
      </c>
      <c r="K99" s="7">
        <v>-0.15448215839860749</v>
      </c>
      <c r="L99" s="7">
        <v>-4.4821583986074387E-3</v>
      </c>
      <c r="M99" s="7" t="s">
        <v>331</v>
      </c>
    </row>
    <row r="100" spans="1:13" x14ac:dyDescent="0.3">
      <c r="A100" s="1">
        <v>51119</v>
      </c>
      <c r="B100" s="4">
        <v>43906</v>
      </c>
      <c r="C100">
        <v>4200</v>
      </c>
      <c r="D100">
        <v>4200</v>
      </c>
      <c r="E100">
        <v>3990</v>
      </c>
      <c r="F100">
        <v>4100</v>
      </c>
      <c r="G100">
        <v>90</v>
      </c>
      <c r="H100" t="s">
        <v>54</v>
      </c>
      <c r="I100" t="s">
        <v>12</v>
      </c>
      <c r="J100">
        <v>0.7</v>
      </c>
      <c r="K100">
        <v>-0.43055555555555558</v>
      </c>
      <c r="L100">
        <v>-0.13055555555555551</v>
      </c>
    </row>
    <row r="101" spans="1:13" x14ac:dyDescent="0.3">
      <c r="A101" s="1">
        <v>51264</v>
      </c>
      <c r="B101" s="6">
        <v>44126</v>
      </c>
      <c r="C101" s="7">
        <v>5002</v>
      </c>
      <c r="D101" s="7">
        <v>5291</v>
      </c>
      <c r="E101" s="7">
        <v>4940</v>
      </c>
      <c r="F101" s="7">
        <v>5216.5</v>
      </c>
      <c r="G101" s="7">
        <v>2420</v>
      </c>
      <c r="H101" s="7" t="s">
        <v>54</v>
      </c>
      <c r="I101" s="7" t="s">
        <v>12</v>
      </c>
      <c r="J101" s="7">
        <v>0.7</v>
      </c>
      <c r="K101" s="7">
        <v>-0.46726919934640521</v>
      </c>
      <c r="L101" s="7">
        <v>-0.16726919934640519</v>
      </c>
      <c r="M101" s="7" t="s">
        <v>329</v>
      </c>
    </row>
    <row r="102" spans="1:13" x14ac:dyDescent="0.3">
      <c r="A102" s="1">
        <v>52041</v>
      </c>
      <c r="B102" s="6">
        <v>45315</v>
      </c>
      <c r="C102" s="7">
        <v>11430</v>
      </c>
      <c r="D102" s="7">
        <v>11832.5</v>
      </c>
      <c r="E102" s="7">
        <v>11002</v>
      </c>
      <c r="F102" s="7">
        <v>11810.5</v>
      </c>
      <c r="G102" s="7">
        <v>3106</v>
      </c>
      <c r="H102" s="7" t="s">
        <v>54</v>
      </c>
      <c r="I102" s="7" t="s">
        <v>26</v>
      </c>
      <c r="J102" s="7">
        <v>0.85</v>
      </c>
      <c r="K102" s="7">
        <v>-0.74160978384527865</v>
      </c>
      <c r="L102" s="7">
        <v>-0.59160978384527863</v>
      </c>
      <c r="M102" s="7" t="s">
        <v>329</v>
      </c>
    </row>
    <row r="103" spans="1:13" x14ac:dyDescent="0.3">
      <c r="A103" s="1">
        <v>53538</v>
      </c>
      <c r="B103" s="6">
        <v>45315</v>
      </c>
      <c r="C103" s="7">
        <v>10025</v>
      </c>
      <c r="D103" s="7">
        <v>10841</v>
      </c>
      <c r="E103" s="7">
        <v>10025</v>
      </c>
      <c r="F103" s="7">
        <v>10840</v>
      </c>
      <c r="G103" s="7">
        <v>2054</v>
      </c>
      <c r="H103" s="7" t="s">
        <v>55</v>
      </c>
      <c r="I103" s="7" t="s">
        <v>12</v>
      </c>
      <c r="J103" s="7">
        <v>0.7</v>
      </c>
      <c r="K103" s="7">
        <v>-0.48487656521015993</v>
      </c>
      <c r="L103" s="7">
        <v>-0.1848765652101598</v>
      </c>
      <c r="M103" s="7" t="s">
        <v>329</v>
      </c>
    </row>
    <row r="104" spans="1:13" x14ac:dyDescent="0.3">
      <c r="A104" s="1">
        <v>55363</v>
      </c>
      <c r="B104" s="4">
        <v>45286</v>
      </c>
      <c r="C104">
        <v>9365</v>
      </c>
      <c r="D104">
        <v>9370</v>
      </c>
      <c r="E104">
        <v>7570</v>
      </c>
      <c r="F104">
        <v>7709</v>
      </c>
      <c r="G104">
        <v>92355</v>
      </c>
      <c r="H104" t="s">
        <v>56</v>
      </c>
      <c r="I104" t="s">
        <v>26</v>
      </c>
      <c r="J104">
        <v>0.85</v>
      </c>
      <c r="K104">
        <v>-0.17656483657338171</v>
      </c>
      <c r="L104">
        <v>-2.6564836573381712E-2</v>
      </c>
    </row>
    <row r="105" spans="1:13" x14ac:dyDescent="0.3">
      <c r="A105" s="1">
        <v>55466</v>
      </c>
      <c r="B105" s="6">
        <v>43924</v>
      </c>
      <c r="C105" s="7">
        <v>42</v>
      </c>
      <c r="D105" s="7">
        <v>42</v>
      </c>
      <c r="E105" s="7">
        <v>42</v>
      </c>
      <c r="F105" s="7">
        <v>42</v>
      </c>
      <c r="G105" s="7">
        <v>105</v>
      </c>
      <c r="H105" s="7" t="s">
        <v>57</v>
      </c>
      <c r="I105" s="7" t="s">
        <v>26</v>
      </c>
      <c r="J105" s="7">
        <v>0.85</v>
      </c>
      <c r="K105" s="7">
        <v>-0.63157894736842102</v>
      </c>
      <c r="L105" s="7">
        <v>-0.481578947368421</v>
      </c>
      <c r="M105" s="7" t="s">
        <v>332</v>
      </c>
    </row>
    <row r="106" spans="1:13" x14ac:dyDescent="0.3">
      <c r="A106" s="1">
        <v>55978</v>
      </c>
      <c r="B106" s="6">
        <v>44693</v>
      </c>
      <c r="C106" s="7">
        <v>48.17</v>
      </c>
      <c r="D106" s="7">
        <v>48.89</v>
      </c>
      <c r="E106" s="7">
        <v>48</v>
      </c>
      <c r="F106" s="7">
        <v>48.74</v>
      </c>
      <c r="G106" s="7">
        <v>1447435</v>
      </c>
      <c r="H106" s="7" t="s">
        <v>58</v>
      </c>
      <c r="I106" s="7" t="s">
        <v>39</v>
      </c>
      <c r="J106" s="7">
        <v>0.7</v>
      </c>
      <c r="K106" s="7">
        <v>-0.38922305764411019</v>
      </c>
      <c r="L106" s="7">
        <v>-8.9223057644110204E-2</v>
      </c>
      <c r="M106" s="7" t="s">
        <v>330</v>
      </c>
    </row>
    <row r="107" spans="1:13" x14ac:dyDescent="0.3">
      <c r="A107" s="1">
        <v>56096</v>
      </c>
      <c r="B107" s="6">
        <v>44876</v>
      </c>
      <c r="C107" s="7">
        <v>26</v>
      </c>
      <c r="D107" s="7">
        <v>26.1</v>
      </c>
      <c r="E107" s="7">
        <v>24.9</v>
      </c>
      <c r="F107" s="7">
        <v>25.74</v>
      </c>
      <c r="G107" s="7">
        <v>2918147</v>
      </c>
      <c r="H107" s="7" t="s">
        <v>58</v>
      </c>
      <c r="I107" s="7" t="s">
        <v>39</v>
      </c>
      <c r="J107" s="7">
        <v>0.7</v>
      </c>
      <c r="K107" s="7">
        <v>-0.49529411764705888</v>
      </c>
      <c r="L107" s="7">
        <v>-0.19529411764705881</v>
      </c>
      <c r="M107" s="7" t="s">
        <v>330</v>
      </c>
    </row>
    <row r="108" spans="1:13" x14ac:dyDescent="0.3">
      <c r="A108" s="1">
        <v>56219</v>
      </c>
      <c r="B108" s="6">
        <v>41327</v>
      </c>
      <c r="C108" s="7">
        <v>34.799999999999997</v>
      </c>
      <c r="D108" s="7">
        <v>34.799999999999997</v>
      </c>
      <c r="E108" s="7">
        <v>34.799999999999997</v>
      </c>
      <c r="F108" s="7">
        <v>34.799999999999997</v>
      </c>
      <c r="G108" s="7">
        <v>900</v>
      </c>
      <c r="H108" s="7" t="s">
        <v>59</v>
      </c>
      <c r="I108" s="7" t="s">
        <v>26</v>
      </c>
      <c r="J108" s="7">
        <v>0.85</v>
      </c>
      <c r="K108" s="7">
        <v>-0.17241379310344829</v>
      </c>
      <c r="L108" s="7">
        <v>-2.2413793103448269E-2</v>
      </c>
      <c r="M108" s="7" t="s">
        <v>331</v>
      </c>
    </row>
    <row r="109" spans="1:13" x14ac:dyDescent="0.3">
      <c r="A109" s="1">
        <v>56237</v>
      </c>
      <c r="B109" s="6">
        <v>41516</v>
      </c>
      <c r="C109" s="7">
        <v>30.4</v>
      </c>
      <c r="D109" s="7">
        <v>30.4</v>
      </c>
      <c r="E109" s="7">
        <v>30.4</v>
      </c>
      <c r="F109" s="7">
        <v>30.4</v>
      </c>
      <c r="G109" s="7">
        <v>2001</v>
      </c>
      <c r="H109" s="7" t="s">
        <v>59</v>
      </c>
      <c r="I109" s="7" t="s">
        <v>26</v>
      </c>
      <c r="J109" s="7">
        <v>0.85</v>
      </c>
      <c r="K109" s="7">
        <v>-0.23037974683544299</v>
      </c>
      <c r="L109" s="7">
        <v>-8.0379746835443022E-2</v>
      </c>
      <c r="M109" s="7" t="s">
        <v>331</v>
      </c>
    </row>
    <row r="110" spans="1:13" x14ac:dyDescent="0.3">
      <c r="A110" s="1">
        <v>56239</v>
      </c>
      <c r="B110" s="6">
        <v>41738</v>
      </c>
      <c r="C110" s="7">
        <v>26.5</v>
      </c>
      <c r="D110" s="7">
        <v>26.5</v>
      </c>
      <c r="E110" s="7">
        <v>26.5</v>
      </c>
      <c r="F110" s="7">
        <v>26.5</v>
      </c>
      <c r="G110" s="7">
        <v>237</v>
      </c>
      <c r="H110" s="7" t="s">
        <v>59</v>
      </c>
      <c r="I110" s="7" t="s">
        <v>26</v>
      </c>
      <c r="J110" s="7">
        <v>0.85</v>
      </c>
      <c r="K110" s="7">
        <v>-0.27595628415300538</v>
      </c>
      <c r="L110" s="7">
        <v>-0.12595628415300539</v>
      </c>
      <c r="M110" s="7" t="s">
        <v>331</v>
      </c>
    </row>
    <row r="111" spans="1:13" x14ac:dyDescent="0.3">
      <c r="A111" s="1">
        <v>56245</v>
      </c>
      <c r="B111" s="6">
        <v>42261</v>
      </c>
      <c r="C111" s="7">
        <v>36.5</v>
      </c>
      <c r="D111" s="7">
        <v>36.5</v>
      </c>
      <c r="E111" s="7">
        <v>36.5</v>
      </c>
      <c r="F111" s="7">
        <v>36.5</v>
      </c>
      <c r="G111" s="7">
        <v>681</v>
      </c>
      <c r="H111" s="7" t="s">
        <v>59</v>
      </c>
      <c r="I111" s="7" t="s">
        <v>26</v>
      </c>
      <c r="J111" s="7">
        <v>0.85</v>
      </c>
      <c r="K111" s="7">
        <v>-0.28149606299212587</v>
      </c>
      <c r="L111" s="7">
        <v>-0.13149606299212591</v>
      </c>
      <c r="M111" s="7" t="s">
        <v>331</v>
      </c>
    </row>
    <row r="112" spans="1:13" x14ac:dyDescent="0.3">
      <c r="A112" s="1">
        <v>56249</v>
      </c>
      <c r="B112" s="6">
        <v>42383</v>
      </c>
      <c r="C112" s="7">
        <v>35</v>
      </c>
      <c r="D112" s="7">
        <v>35</v>
      </c>
      <c r="E112" s="7">
        <v>35</v>
      </c>
      <c r="F112" s="7">
        <v>35</v>
      </c>
      <c r="G112" s="7">
        <v>438</v>
      </c>
      <c r="H112" s="7" t="s">
        <v>59</v>
      </c>
      <c r="I112" s="7" t="s">
        <v>26</v>
      </c>
      <c r="J112" s="7">
        <v>0.85</v>
      </c>
      <c r="K112" s="7">
        <v>-0.20454545454545461</v>
      </c>
      <c r="L112" s="7">
        <v>-5.4545454545454557E-2</v>
      </c>
      <c r="M112" s="7" t="s">
        <v>331</v>
      </c>
    </row>
    <row r="113" spans="1:13" x14ac:dyDescent="0.3">
      <c r="A113" s="1">
        <v>56271</v>
      </c>
      <c r="B113" s="4">
        <v>44118</v>
      </c>
      <c r="C113">
        <v>260</v>
      </c>
      <c r="D113">
        <v>275</v>
      </c>
      <c r="E113">
        <v>260</v>
      </c>
      <c r="F113">
        <v>275</v>
      </c>
      <c r="G113">
        <v>14</v>
      </c>
      <c r="H113" t="s">
        <v>59</v>
      </c>
      <c r="I113" t="s">
        <v>26</v>
      </c>
      <c r="J113">
        <v>0.85</v>
      </c>
      <c r="K113">
        <v>-0.2445054945054945</v>
      </c>
      <c r="L113">
        <v>-9.4505494505494503E-2</v>
      </c>
    </row>
    <row r="114" spans="1:13" x14ac:dyDescent="0.3">
      <c r="A114" s="1">
        <v>56279</v>
      </c>
      <c r="B114" s="4">
        <v>44133</v>
      </c>
      <c r="C114">
        <v>242</v>
      </c>
      <c r="D114">
        <v>256</v>
      </c>
      <c r="E114">
        <v>242</v>
      </c>
      <c r="F114">
        <v>254.5</v>
      </c>
      <c r="G114">
        <v>303</v>
      </c>
      <c r="H114" t="s">
        <v>59</v>
      </c>
      <c r="I114" t="s">
        <v>26</v>
      </c>
      <c r="J114">
        <v>0.85</v>
      </c>
      <c r="K114">
        <v>-0.19968553459119501</v>
      </c>
      <c r="L114">
        <v>-4.9685534591194958E-2</v>
      </c>
    </row>
    <row r="115" spans="1:13" x14ac:dyDescent="0.3">
      <c r="A115" s="1">
        <v>56334</v>
      </c>
      <c r="B115" s="4">
        <v>44224</v>
      </c>
      <c r="C115">
        <v>1194</v>
      </c>
      <c r="D115">
        <v>1194</v>
      </c>
      <c r="E115">
        <v>680</v>
      </c>
      <c r="F115">
        <v>808.5</v>
      </c>
      <c r="G115">
        <v>144198</v>
      </c>
      <c r="H115" t="s">
        <v>59</v>
      </c>
      <c r="I115" t="s">
        <v>26</v>
      </c>
      <c r="J115">
        <v>0.85</v>
      </c>
      <c r="K115">
        <v>-0.38423457730388422</v>
      </c>
      <c r="L115">
        <v>-0.23423457730388419</v>
      </c>
    </row>
    <row r="116" spans="1:13" x14ac:dyDescent="0.3">
      <c r="A116" s="1">
        <v>56337</v>
      </c>
      <c r="B116" s="4">
        <v>44229</v>
      </c>
      <c r="C116">
        <v>710</v>
      </c>
      <c r="D116">
        <v>710</v>
      </c>
      <c r="E116">
        <v>570</v>
      </c>
      <c r="F116">
        <v>612</v>
      </c>
      <c r="G116">
        <v>79082</v>
      </c>
      <c r="H116" t="s">
        <v>59</v>
      </c>
      <c r="I116" t="s">
        <v>26</v>
      </c>
      <c r="J116">
        <v>0.85</v>
      </c>
      <c r="K116">
        <v>-0.1877903118779031</v>
      </c>
      <c r="L116">
        <v>-3.7790311877903049E-2</v>
      </c>
    </row>
    <row r="117" spans="1:13" x14ac:dyDescent="0.3">
      <c r="A117" s="1">
        <v>56957</v>
      </c>
      <c r="B117" s="4">
        <v>45176</v>
      </c>
      <c r="C117">
        <v>1370</v>
      </c>
      <c r="D117">
        <v>1370</v>
      </c>
      <c r="E117">
        <v>1134.5</v>
      </c>
      <c r="F117">
        <v>1160.5</v>
      </c>
      <c r="G117">
        <v>12110</v>
      </c>
      <c r="H117" t="s">
        <v>59</v>
      </c>
      <c r="I117" t="s">
        <v>26</v>
      </c>
      <c r="J117">
        <v>0.85</v>
      </c>
      <c r="K117">
        <v>-0.18043785310734459</v>
      </c>
      <c r="L117">
        <v>-3.0437853107344589E-2</v>
      </c>
    </row>
    <row r="118" spans="1:13" x14ac:dyDescent="0.3">
      <c r="A118" s="1">
        <v>57047</v>
      </c>
      <c r="B118" s="4">
        <v>45315</v>
      </c>
      <c r="C118">
        <v>1461</v>
      </c>
      <c r="D118">
        <v>1461</v>
      </c>
      <c r="E118">
        <v>1248</v>
      </c>
      <c r="F118">
        <v>1282.5</v>
      </c>
      <c r="G118">
        <v>231488</v>
      </c>
      <c r="H118" t="s">
        <v>59</v>
      </c>
      <c r="I118" t="s">
        <v>26</v>
      </c>
      <c r="J118">
        <v>0.85</v>
      </c>
      <c r="K118">
        <v>-0.16066753926701571</v>
      </c>
      <c r="L118">
        <v>-1.0667539267015689E-2</v>
      </c>
    </row>
    <row r="119" spans="1:13" x14ac:dyDescent="0.3">
      <c r="A119" s="1">
        <v>57167</v>
      </c>
      <c r="B119" s="4">
        <v>43689</v>
      </c>
      <c r="C119">
        <v>130</v>
      </c>
      <c r="D119">
        <v>130</v>
      </c>
      <c r="E119">
        <v>90</v>
      </c>
      <c r="F119">
        <v>97.15</v>
      </c>
      <c r="G119">
        <v>718386</v>
      </c>
      <c r="H119" t="s">
        <v>60</v>
      </c>
      <c r="I119" t="s">
        <v>25</v>
      </c>
      <c r="J119">
        <v>0.8</v>
      </c>
      <c r="K119">
        <v>-0.47042790951212848</v>
      </c>
      <c r="L119">
        <v>-0.27042790951212858</v>
      </c>
    </row>
    <row r="120" spans="1:13" x14ac:dyDescent="0.3">
      <c r="A120" s="1">
        <v>58586</v>
      </c>
      <c r="B120" s="6">
        <v>42102</v>
      </c>
      <c r="C120" s="7">
        <v>118.85</v>
      </c>
      <c r="D120" s="7">
        <v>118.85</v>
      </c>
      <c r="E120" s="7">
        <v>118.85</v>
      </c>
      <c r="F120" s="7">
        <v>118.85</v>
      </c>
      <c r="G120" s="7">
        <v>3249</v>
      </c>
      <c r="H120" s="7" t="s">
        <v>61</v>
      </c>
      <c r="I120" s="7" t="s">
        <v>25</v>
      </c>
      <c r="J120" s="7">
        <v>0.8</v>
      </c>
      <c r="K120" s="7">
        <v>-0.36067778375470683</v>
      </c>
      <c r="L120" s="7">
        <v>-0.1606777837547069</v>
      </c>
      <c r="M120" s="7" t="s">
        <v>331</v>
      </c>
    </row>
    <row r="121" spans="1:13" x14ac:dyDescent="0.3">
      <c r="A121" s="1">
        <v>58588</v>
      </c>
      <c r="B121" s="6">
        <v>42243</v>
      </c>
      <c r="C121" s="7">
        <v>96.9</v>
      </c>
      <c r="D121" s="7">
        <v>96.9</v>
      </c>
      <c r="E121" s="7">
        <v>96.9</v>
      </c>
      <c r="F121" s="7">
        <v>96.9</v>
      </c>
      <c r="G121" s="7">
        <v>500</v>
      </c>
      <c r="H121" s="7" t="s">
        <v>61</v>
      </c>
      <c r="I121" s="7" t="s">
        <v>25</v>
      </c>
      <c r="J121" s="7">
        <v>0.8</v>
      </c>
      <c r="K121" s="7">
        <v>-0.2462077012835473</v>
      </c>
      <c r="L121" s="7">
        <v>-4.6207701283547342E-2</v>
      </c>
      <c r="M121" s="7" t="s">
        <v>331</v>
      </c>
    </row>
    <row r="122" spans="1:13" x14ac:dyDescent="0.3">
      <c r="A122" s="1">
        <v>58646</v>
      </c>
      <c r="B122" s="6">
        <v>42522</v>
      </c>
      <c r="C122" s="7">
        <v>88.55</v>
      </c>
      <c r="D122" s="7">
        <v>88.55</v>
      </c>
      <c r="E122" s="7">
        <v>88.55</v>
      </c>
      <c r="F122" s="7">
        <v>88.55</v>
      </c>
      <c r="G122" s="7">
        <v>26500</v>
      </c>
      <c r="H122" s="7" t="s">
        <v>61</v>
      </c>
      <c r="I122" s="7" t="s">
        <v>25</v>
      </c>
      <c r="J122" s="7">
        <v>0.8</v>
      </c>
      <c r="K122" s="7">
        <v>-0.2107843137254902</v>
      </c>
      <c r="L122" s="7">
        <v>-1.0784313725490271E-2</v>
      </c>
      <c r="M122" s="7" t="s">
        <v>331</v>
      </c>
    </row>
    <row r="123" spans="1:13" x14ac:dyDescent="0.3">
      <c r="A123" s="1">
        <v>60743</v>
      </c>
      <c r="B123" s="4">
        <v>43900</v>
      </c>
      <c r="C123">
        <v>323</v>
      </c>
      <c r="D123">
        <v>323</v>
      </c>
      <c r="E123">
        <v>292</v>
      </c>
      <c r="F123">
        <v>292</v>
      </c>
      <c r="G123">
        <v>86</v>
      </c>
      <c r="H123" t="s">
        <v>62</v>
      </c>
      <c r="I123" t="s">
        <v>25</v>
      </c>
      <c r="J123">
        <v>0.8</v>
      </c>
      <c r="K123">
        <v>-0.2635561160151324</v>
      </c>
      <c r="L123">
        <v>-6.3556116015132447E-2</v>
      </c>
    </row>
    <row r="124" spans="1:13" x14ac:dyDescent="0.3">
      <c r="A124" s="1">
        <v>61769</v>
      </c>
      <c r="B124" s="6">
        <v>42010</v>
      </c>
      <c r="C124" s="7">
        <v>27.4</v>
      </c>
      <c r="D124" s="7">
        <v>27.4</v>
      </c>
      <c r="E124" s="7">
        <v>27.4</v>
      </c>
      <c r="F124" s="7">
        <v>27.4</v>
      </c>
      <c r="G124" s="7">
        <v>324</v>
      </c>
      <c r="H124" s="7" t="s">
        <v>63</v>
      </c>
      <c r="I124" s="7" t="s">
        <v>26</v>
      </c>
      <c r="J124" s="7">
        <v>0.85</v>
      </c>
      <c r="K124" s="7">
        <v>-0.20000000000000009</v>
      </c>
      <c r="L124" s="7">
        <v>-5.0000000000000037E-2</v>
      </c>
      <c r="M124" s="7" t="s">
        <v>331</v>
      </c>
    </row>
    <row r="125" spans="1:13" x14ac:dyDescent="0.3">
      <c r="A125" s="1">
        <v>61777</v>
      </c>
      <c r="B125" s="6">
        <v>42459</v>
      </c>
      <c r="C125" s="7">
        <v>21.75</v>
      </c>
      <c r="D125" s="7">
        <v>21.75</v>
      </c>
      <c r="E125" s="7">
        <v>21.75</v>
      </c>
      <c r="F125" s="7">
        <v>21.75</v>
      </c>
      <c r="G125" s="7">
        <v>30660</v>
      </c>
      <c r="H125" s="7" t="s">
        <v>63</v>
      </c>
      <c r="I125" s="7" t="s">
        <v>26</v>
      </c>
      <c r="J125" s="7">
        <v>0.85</v>
      </c>
      <c r="K125" s="7">
        <v>-0.27860696517412931</v>
      </c>
      <c r="L125" s="7">
        <v>-0.12860696517412931</v>
      </c>
      <c r="M125" s="7" t="s">
        <v>331</v>
      </c>
    </row>
    <row r="126" spans="1:13" x14ac:dyDescent="0.3">
      <c r="A126" s="1">
        <v>61821</v>
      </c>
      <c r="B126" s="4">
        <v>43889</v>
      </c>
      <c r="C126">
        <v>618</v>
      </c>
      <c r="D126">
        <v>621.5</v>
      </c>
      <c r="E126">
        <v>618</v>
      </c>
      <c r="F126">
        <v>621.5</v>
      </c>
      <c r="G126">
        <v>15</v>
      </c>
      <c r="H126" t="s">
        <v>63</v>
      </c>
      <c r="I126" t="s">
        <v>26</v>
      </c>
      <c r="J126">
        <v>0.85</v>
      </c>
      <c r="K126">
        <v>-0.17463479415670649</v>
      </c>
      <c r="L126">
        <v>-2.4634794156706441E-2</v>
      </c>
    </row>
    <row r="127" spans="1:13" x14ac:dyDescent="0.3">
      <c r="A127" s="1">
        <v>61826</v>
      </c>
      <c r="B127" s="4">
        <v>43903</v>
      </c>
      <c r="C127">
        <v>460</v>
      </c>
      <c r="D127">
        <v>462.5</v>
      </c>
      <c r="E127">
        <v>460</v>
      </c>
      <c r="F127">
        <v>462.5</v>
      </c>
      <c r="G127">
        <v>17</v>
      </c>
      <c r="H127" t="s">
        <v>63</v>
      </c>
      <c r="I127" t="s">
        <v>26</v>
      </c>
      <c r="J127">
        <v>0.85</v>
      </c>
      <c r="K127">
        <v>-0.17850799289520419</v>
      </c>
      <c r="L127">
        <v>-2.850799289520423E-2</v>
      </c>
    </row>
    <row r="128" spans="1:13" x14ac:dyDescent="0.3">
      <c r="A128" s="1">
        <v>61827</v>
      </c>
      <c r="B128" s="4">
        <v>43910</v>
      </c>
      <c r="C128">
        <v>463</v>
      </c>
      <c r="D128">
        <v>463</v>
      </c>
      <c r="E128">
        <v>366</v>
      </c>
      <c r="F128">
        <v>367.5</v>
      </c>
      <c r="G128">
        <v>76</v>
      </c>
      <c r="H128" t="s">
        <v>63</v>
      </c>
      <c r="I128" t="s">
        <v>26</v>
      </c>
      <c r="J128">
        <v>0.85</v>
      </c>
      <c r="K128">
        <v>-0.20540540540540539</v>
      </c>
      <c r="L128">
        <v>-5.5405405405405388E-2</v>
      </c>
    </row>
    <row r="129" spans="1:13" x14ac:dyDescent="0.3">
      <c r="A129" s="1">
        <v>62838</v>
      </c>
      <c r="B129" s="6">
        <v>43518</v>
      </c>
      <c r="C129" s="7">
        <v>45</v>
      </c>
      <c r="D129" s="7">
        <v>51.8</v>
      </c>
      <c r="E129" s="7">
        <v>45</v>
      </c>
      <c r="F129" s="7">
        <v>51.8</v>
      </c>
      <c r="G129" s="7">
        <v>1500000</v>
      </c>
      <c r="H129" s="7" t="s">
        <v>64</v>
      </c>
      <c r="I129" s="7" t="s">
        <v>65</v>
      </c>
      <c r="J129" s="7">
        <v>0.7</v>
      </c>
      <c r="K129" s="7">
        <v>-0.35249999999999998</v>
      </c>
      <c r="L129" s="7">
        <v>-5.2499999999999991E-2</v>
      </c>
      <c r="M129" s="7" t="s">
        <v>331</v>
      </c>
    </row>
    <row r="130" spans="1:13" x14ac:dyDescent="0.3">
      <c r="A130" s="1">
        <v>62844</v>
      </c>
      <c r="B130" s="6">
        <v>43704</v>
      </c>
      <c r="C130" s="7">
        <v>22</v>
      </c>
      <c r="D130" s="7">
        <v>22</v>
      </c>
      <c r="E130" s="7">
        <v>22</v>
      </c>
      <c r="F130" s="7">
        <v>22</v>
      </c>
      <c r="G130" s="7">
        <v>1079000</v>
      </c>
      <c r="H130" s="7" t="s">
        <v>64</v>
      </c>
      <c r="I130" s="7" t="s">
        <v>65</v>
      </c>
      <c r="J130" s="7">
        <v>0.7</v>
      </c>
      <c r="K130" s="7">
        <v>-0.57692307692307687</v>
      </c>
      <c r="L130" s="7">
        <v>-0.27692307692307683</v>
      </c>
      <c r="M130" s="7" t="s">
        <v>331</v>
      </c>
    </row>
    <row r="131" spans="1:13" x14ac:dyDescent="0.3">
      <c r="A131" s="1">
        <v>63791</v>
      </c>
      <c r="B131" s="6">
        <v>43454</v>
      </c>
      <c r="C131" s="7">
        <v>1290</v>
      </c>
      <c r="D131" s="7">
        <v>1290</v>
      </c>
      <c r="E131" s="7">
        <v>1290</v>
      </c>
      <c r="F131" s="7">
        <v>1290</v>
      </c>
      <c r="G131" s="7">
        <v>1000</v>
      </c>
      <c r="H131" s="7" t="s">
        <v>66</v>
      </c>
      <c r="I131" s="7" t="s">
        <v>67</v>
      </c>
      <c r="J131" s="7">
        <v>0.7</v>
      </c>
      <c r="K131" s="7">
        <v>-0.32777488275143313</v>
      </c>
      <c r="L131" s="7">
        <v>-2.7774882751433031E-2</v>
      </c>
      <c r="M131" s="7" t="s">
        <v>330</v>
      </c>
    </row>
    <row r="132" spans="1:13" x14ac:dyDescent="0.3">
      <c r="A132" s="1">
        <v>63821</v>
      </c>
      <c r="B132" s="6">
        <v>43643</v>
      </c>
      <c r="C132" s="7">
        <v>700</v>
      </c>
      <c r="D132" s="7">
        <v>700</v>
      </c>
      <c r="E132" s="7">
        <v>700</v>
      </c>
      <c r="F132" s="7">
        <v>700</v>
      </c>
      <c r="G132" s="7">
        <v>4000</v>
      </c>
      <c r="H132" s="7" t="s">
        <v>66</v>
      </c>
      <c r="I132" s="7" t="s">
        <v>67</v>
      </c>
      <c r="J132" s="7">
        <v>0.7</v>
      </c>
      <c r="K132" s="7">
        <v>-0.52380952380952384</v>
      </c>
      <c r="L132" s="7">
        <v>-0.22380952380952379</v>
      </c>
      <c r="M132" s="7" t="s">
        <v>330</v>
      </c>
    </row>
    <row r="133" spans="1:13" x14ac:dyDescent="0.3">
      <c r="A133" s="1">
        <v>63834</v>
      </c>
      <c r="B133" s="4">
        <v>43693</v>
      </c>
      <c r="C133">
        <v>945</v>
      </c>
      <c r="D133">
        <v>945</v>
      </c>
      <c r="E133">
        <v>945</v>
      </c>
      <c r="F133">
        <v>945</v>
      </c>
      <c r="G133">
        <v>1000</v>
      </c>
      <c r="H133" t="s">
        <v>66</v>
      </c>
      <c r="I133" t="s">
        <v>67</v>
      </c>
      <c r="J133">
        <v>0.7</v>
      </c>
      <c r="K133">
        <v>-0.34021741407117267</v>
      </c>
      <c r="L133">
        <v>-4.021741407117263E-2</v>
      </c>
    </row>
    <row r="134" spans="1:13" x14ac:dyDescent="0.3">
      <c r="A134" s="1">
        <v>63903</v>
      </c>
      <c r="B134" s="6">
        <v>43426</v>
      </c>
      <c r="C134" s="7">
        <v>73.5</v>
      </c>
      <c r="D134" s="7">
        <v>74.900000000000006</v>
      </c>
      <c r="E134" s="7">
        <v>73.5</v>
      </c>
      <c r="F134" s="7">
        <v>74.900000000000006</v>
      </c>
      <c r="G134" s="7">
        <v>80000</v>
      </c>
      <c r="H134" s="7" t="s">
        <v>68</v>
      </c>
      <c r="I134" s="7" t="s">
        <v>36</v>
      </c>
      <c r="J134" s="7">
        <v>0.7</v>
      </c>
      <c r="K134" s="7">
        <v>-0.31722880583409302</v>
      </c>
      <c r="L134" s="7">
        <v>-1.722880583409292E-2</v>
      </c>
      <c r="M134" s="7" t="s">
        <v>330</v>
      </c>
    </row>
    <row r="135" spans="1:13" x14ac:dyDescent="0.3">
      <c r="A135" s="1">
        <v>63908</v>
      </c>
      <c r="B135" s="6">
        <v>43704</v>
      </c>
      <c r="C135" s="7">
        <v>43</v>
      </c>
      <c r="D135" s="7">
        <v>43</v>
      </c>
      <c r="E135" s="7">
        <v>43</v>
      </c>
      <c r="F135" s="7">
        <v>43</v>
      </c>
      <c r="G135" s="7">
        <v>40000</v>
      </c>
      <c r="H135" s="7" t="s">
        <v>68</v>
      </c>
      <c r="I135" s="7" t="s">
        <v>36</v>
      </c>
      <c r="J135" s="7">
        <v>0.7</v>
      </c>
      <c r="K135" s="7">
        <v>-0.43717277486910999</v>
      </c>
      <c r="L135" s="7">
        <v>-0.13717277486910989</v>
      </c>
      <c r="M135" s="7" t="s">
        <v>330</v>
      </c>
    </row>
    <row r="136" spans="1:13" x14ac:dyDescent="0.3">
      <c r="A136" s="1">
        <v>65171</v>
      </c>
      <c r="B136" s="6">
        <v>43419</v>
      </c>
      <c r="C136" s="7">
        <v>590</v>
      </c>
      <c r="D136" s="7">
        <v>598</v>
      </c>
      <c r="E136" s="7">
        <v>590</v>
      </c>
      <c r="F136" s="7">
        <v>598</v>
      </c>
      <c r="G136" s="7">
        <v>12000</v>
      </c>
      <c r="H136" s="7" t="s">
        <v>69</v>
      </c>
      <c r="I136" s="7" t="s">
        <v>36</v>
      </c>
      <c r="J136" s="7">
        <v>0.7</v>
      </c>
      <c r="K136" s="7">
        <v>-0.51382113821138209</v>
      </c>
      <c r="L136" s="7">
        <v>-0.21382113821138199</v>
      </c>
      <c r="M136" s="7" t="s">
        <v>330</v>
      </c>
    </row>
    <row r="137" spans="1:13" x14ac:dyDescent="0.3">
      <c r="A137" s="1">
        <v>66322</v>
      </c>
      <c r="B137" s="6">
        <v>43490</v>
      </c>
      <c r="C137" s="7">
        <v>1240</v>
      </c>
      <c r="D137" s="7">
        <v>1240</v>
      </c>
      <c r="E137" s="7">
        <v>1240</v>
      </c>
      <c r="F137" s="7">
        <v>1240</v>
      </c>
      <c r="G137" s="7">
        <v>3000</v>
      </c>
      <c r="H137" s="7" t="s">
        <v>70</v>
      </c>
      <c r="I137" s="7" t="s">
        <v>67</v>
      </c>
      <c r="J137" s="7">
        <v>0.7</v>
      </c>
      <c r="K137" s="7">
        <v>-0.32972972972972969</v>
      </c>
      <c r="L137" s="7">
        <v>-2.9729729729729652E-2</v>
      </c>
      <c r="M137" s="7" t="s">
        <v>330</v>
      </c>
    </row>
    <row r="138" spans="1:13" x14ac:dyDescent="0.3">
      <c r="A138" s="1">
        <v>66410</v>
      </c>
      <c r="B138" s="6">
        <v>43675</v>
      </c>
      <c r="C138" s="7">
        <v>700</v>
      </c>
      <c r="D138" s="7">
        <v>707</v>
      </c>
      <c r="E138" s="7">
        <v>700</v>
      </c>
      <c r="F138" s="7">
        <v>707</v>
      </c>
      <c r="G138" s="7">
        <v>49000</v>
      </c>
      <c r="H138" s="7" t="s">
        <v>70</v>
      </c>
      <c r="I138" s="7" t="s">
        <v>67</v>
      </c>
      <c r="J138" s="7">
        <v>0.7</v>
      </c>
      <c r="K138" s="7">
        <v>-0.50105857445306978</v>
      </c>
      <c r="L138" s="7">
        <v>-0.20105857445306971</v>
      </c>
      <c r="M138" s="7" t="s">
        <v>330</v>
      </c>
    </row>
    <row r="139" spans="1:13" x14ac:dyDescent="0.3">
      <c r="A139" s="1">
        <v>66423</v>
      </c>
      <c r="B139" s="6">
        <v>43704</v>
      </c>
      <c r="C139" s="7">
        <v>847.1</v>
      </c>
      <c r="D139" s="7">
        <v>847.1</v>
      </c>
      <c r="E139" s="7">
        <v>840</v>
      </c>
      <c r="F139" s="7">
        <v>840</v>
      </c>
      <c r="G139" s="7">
        <v>7000</v>
      </c>
      <c r="H139" s="7" t="s">
        <v>70</v>
      </c>
      <c r="I139" s="7" t="s">
        <v>67</v>
      </c>
      <c r="J139" s="7">
        <v>0.7</v>
      </c>
      <c r="K139" s="7">
        <v>-0.4509803921568627</v>
      </c>
      <c r="L139" s="7">
        <v>-0.15098039215686271</v>
      </c>
      <c r="M139" s="7" t="s">
        <v>332</v>
      </c>
    </row>
    <row r="140" spans="1:13" x14ac:dyDescent="0.3">
      <c r="A140" s="1">
        <v>66434</v>
      </c>
      <c r="B140" s="6">
        <v>43719</v>
      </c>
      <c r="C140" s="7">
        <v>710</v>
      </c>
      <c r="D140" s="7">
        <v>710</v>
      </c>
      <c r="E140" s="7">
        <v>695</v>
      </c>
      <c r="F140" s="7">
        <v>698</v>
      </c>
      <c r="G140" s="7">
        <v>45000</v>
      </c>
      <c r="H140" s="7" t="s">
        <v>70</v>
      </c>
      <c r="I140" s="7" t="s">
        <v>67</v>
      </c>
      <c r="J140" s="7">
        <v>0.7</v>
      </c>
      <c r="K140" s="7">
        <v>-0.54379084967320268</v>
      </c>
      <c r="L140" s="7">
        <v>-0.24379084967320261</v>
      </c>
      <c r="M140" s="7" t="s">
        <v>332</v>
      </c>
    </row>
    <row r="141" spans="1:13" x14ac:dyDescent="0.3">
      <c r="A141" s="1">
        <v>66541</v>
      </c>
      <c r="B141" s="6">
        <v>43304</v>
      </c>
      <c r="C141" s="7">
        <v>84.87</v>
      </c>
      <c r="D141" s="7">
        <v>84.87</v>
      </c>
      <c r="E141" s="7">
        <v>84.87</v>
      </c>
      <c r="F141" s="7">
        <v>84.87</v>
      </c>
      <c r="G141" s="7">
        <v>15000000</v>
      </c>
      <c r="H141" s="7" t="s">
        <v>71</v>
      </c>
      <c r="I141" s="7" t="s">
        <v>15</v>
      </c>
      <c r="J141" s="7">
        <v>0.8</v>
      </c>
      <c r="K141" s="7">
        <v>-0.22845454545454549</v>
      </c>
      <c r="L141" s="7">
        <v>-2.845454545454551E-2</v>
      </c>
      <c r="M141" s="7" t="s">
        <v>330</v>
      </c>
    </row>
    <row r="142" spans="1:13" x14ac:dyDescent="0.3">
      <c r="A142" s="1">
        <v>66572</v>
      </c>
      <c r="B142" s="6">
        <v>43731</v>
      </c>
      <c r="C142" s="7">
        <v>78</v>
      </c>
      <c r="D142" s="7">
        <v>78</v>
      </c>
      <c r="E142" s="7">
        <v>78</v>
      </c>
      <c r="F142" s="7">
        <v>78</v>
      </c>
      <c r="G142" s="7">
        <v>1700000</v>
      </c>
      <c r="H142" s="7" t="s">
        <v>71</v>
      </c>
      <c r="I142" s="7" t="s">
        <v>15</v>
      </c>
      <c r="J142" s="7">
        <v>0.8</v>
      </c>
      <c r="K142" s="7">
        <v>-0.22695738354806741</v>
      </c>
      <c r="L142" s="7">
        <v>-2.695738354806743E-2</v>
      </c>
      <c r="M142" s="7" t="s">
        <v>331</v>
      </c>
    </row>
    <row r="143" spans="1:13" x14ac:dyDescent="0.3">
      <c r="A143" s="1">
        <v>67087</v>
      </c>
      <c r="B143" s="4">
        <v>43714</v>
      </c>
      <c r="C143">
        <v>56</v>
      </c>
      <c r="D143">
        <v>56</v>
      </c>
      <c r="E143">
        <v>56</v>
      </c>
      <c r="F143">
        <v>58.25</v>
      </c>
      <c r="G143">
        <v>600000</v>
      </c>
      <c r="H143" t="s">
        <v>72</v>
      </c>
      <c r="I143" t="s">
        <v>15</v>
      </c>
      <c r="J143">
        <v>0.8</v>
      </c>
      <c r="K143">
        <v>-0.31888074274154887</v>
      </c>
      <c r="L143">
        <v>-0.1188807427415489</v>
      </c>
    </row>
    <row r="144" spans="1:13" x14ac:dyDescent="0.3">
      <c r="A144" s="1">
        <v>67987</v>
      </c>
      <c r="B144" s="6">
        <v>45196</v>
      </c>
      <c r="C144" s="7">
        <v>97</v>
      </c>
      <c r="D144" s="7">
        <v>100.4</v>
      </c>
      <c r="E144" s="7">
        <v>97</v>
      </c>
      <c r="F144" s="7">
        <v>97.5</v>
      </c>
      <c r="G144" s="7">
        <v>2599223</v>
      </c>
      <c r="H144" s="7" t="s">
        <v>72</v>
      </c>
      <c r="I144" s="7" t="s">
        <v>12</v>
      </c>
      <c r="J144" s="7">
        <v>0.8</v>
      </c>
      <c r="K144" s="7">
        <v>-0.21116504854368931</v>
      </c>
      <c r="L144" s="7">
        <v>-1.116504854368938E-2</v>
      </c>
      <c r="M144" s="7" t="s">
        <v>330</v>
      </c>
    </row>
    <row r="145" spans="1:13" x14ac:dyDescent="0.3">
      <c r="A145" s="1">
        <v>68045</v>
      </c>
      <c r="B145" s="6">
        <v>45287</v>
      </c>
      <c r="C145" s="7">
        <v>101.5</v>
      </c>
      <c r="D145" s="7">
        <v>109</v>
      </c>
      <c r="E145" s="7">
        <v>100.5</v>
      </c>
      <c r="F145" s="7">
        <v>100.5</v>
      </c>
      <c r="G145" s="7">
        <v>932493</v>
      </c>
      <c r="H145" s="7" t="s">
        <v>72</v>
      </c>
      <c r="I145" s="7" t="s">
        <v>12</v>
      </c>
      <c r="J145" s="7">
        <v>0.8</v>
      </c>
      <c r="K145" s="7">
        <v>-0.249159506910721</v>
      </c>
      <c r="L145" s="7">
        <v>-4.9159506910721018E-2</v>
      </c>
      <c r="M145" s="7" t="s">
        <v>330</v>
      </c>
    </row>
    <row r="146" spans="1:13" x14ac:dyDescent="0.3">
      <c r="A146" s="1">
        <v>68222</v>
      </c>
      <c r="B146" s="4">
        <v>43731</v>
      </c>
      <c r="C146">
        <v>57</v>
      </c>
      <c r="D146">
        <v>57</v>
      </c>
      <c r="E146">
        <v>56.5</v>
      </c>
      <c r="F146">
        <v>56.5</v>
      </c>
      <c r="G146">
        <v>10100000</v>
      </c>
      <c r="H146" t="s">
        <v>73</v>
      </c>
      <c r="I146" t="s">
        <v>15</v>
      </c>
      <c r="J146">
        <v>0.8</v>
      </c>
      <c r="K146">
        <v>-0.37912087912087911</v>
      </c>
      <c r="L146">
        <v>-0.17912087912087921</v>
      </c>
    </row>
    <row r="147" spans="1:13" x14ac:dyDescent="0.3">
      <c r="A147" s="1">
        <v>69059</v>
      </c>
      <c r="B147" s="6">
        <v>45155</v>
      </c>
      <c r="C147" s="7">
        <v>95</v>
      </c>
      <c r="D147" s="7">
        <v>101</v>
      </c>
      <c r="E147" s="7">
        <v>94</v>
      </c>
      <c r="F147" s="7">
        <v>97.05</v>
      </c>
      <c r="G147" s="7">
        <v>11752568</v>
      </c>
      <c r="H147" s="7" t="s">
        <v>73</v>
      </c>
      <c r="I147" s="7" t="s">
        <v>12</v>
      </c>
      <c r="J147" s="7">
        <v>0.8</v>
      </c>
      <c r="K147" s="7">
        <v>-0.20450819672131151</v>
      </c>
      <c r="L147" s="7">
        <v>-4.5081967213115304E-3</v>
      </c>
      <c r="M147" s="7" t="s">
        <v>330</v>
      </c>
    </row>
    <row r="148" spans="1:13" x14ac:dyDescent="0.3">
      <c r="A148" s="1">
        <v>72139</v>
      </c>
      <c r="B148" s="6">
        <v>42074</v>
      </c>
      <c r="C148" s="7">
        <v>557.29999999999995</v>
      </c>
      <c r="D148" s="7">
        <v>557.29999999999995</v>
      </c>
      <c r="E148" s="7">
        <v>557.29999999999995</v>
      </c>
      <c r="F148" s="7">
        <v>557.29999999999995</v>
      </c>
      <c r="G148" s="7">
        <v>2100</v>
      </c>
      <c r="H148" s="7" t="s">
        <v>74</v>
      </c>
      <c r="I148" s="7" t="s">
        <v>26</v>
      </c>
      <c r="J148" s="7">
        <v>0.85</v>
      </c>
      <c r="K148" s="7">
        <v>-0.35602033741622369</v>
      </c>
      <c r="L148" s="7">
        <v>-0.20602033741622369</v>
      </c>
      <c r="M148" s="7" t="s">
        <v>331</v>
      </c>
    </row>
    <row r="149" spans="1:13" x14ac:dyDescent="0.3">
      <c r="A149" s="1">
        <v>72143</v>
      </c>
      <c r="B149" s="6">
        <v>42353</v>
      </c>
      <c r="C149" s="7">
        <v>356.5</v>
      </c>
      <c r="D149" s="7">
        <v>356.5</v>
      </c>
      <c r="E149" s="7">
        <v>356.5</v>
      </c>
      <c r="F149" s="7">
        <v>356.5</v>
      </c>
      <c r="G149" s="7">
        <v>20</v>
      </c>
      <c r="H149" s="7" t="s">
        <v>74</v>
      </c>
      <c r="I149" s="7" t="s">
        <v>26</v>
      </c>
      <c r="J149" s="7">
        <v>0.85</v>
      </c>
      <c r="K149" s="7">
        <v>-0.2572916666666667</v>
      </c>
      <c r="L149" s="7">
        <v>-0.1072916666666667</v>
      </c>
      <c r="M149" s="7" t="s">
        <v>331</v>
      </c>
    </row>
    <row r="150" spans="1:13" x14ac:dyDescent="0.3">
      <c r="A150" s="1">
        <v>72227</v>
      </c>
      <c r="B150" s="6">
        <v>44126</v>
      </c>
      <c r="C150" s="7">
        <v>4688</v>
      </c>
      <c r="D150" s="7">
        <v>4734.5</v>
      </c>
      <c r="E150" s="7">
        <v>4623</v>
      </c>
      <c r="F150" s="7">
        <v>4730.5</v>
      </c>
      <c r="G150" s="7">
        <v>28</v>
      </c>
      <c r="H150" s="7" t="s">
        <v>74</v>
      </c>
      <c r="I150" s="7" t="s">
        <v>26</v>
      </c>
      <c r="J150" s="7">
        <v>0.85</v>
      </c>
      <c r="K150" s="7">
        <v>-0.49107046799354492</v>
      </c>
      <c r="L150" s="7">
        <v>-0.3410704679935449</v>
      </c>
      <c r="M150" s="7" t="s">
        <v>329</v>
      </c>
    </row>
    <row r="151" spans="1:13" x14ac:dyDescent="0.3">
      <c r="A151" s="1">
        <v>73051</v>
      </c>
      <c r="B151" s="4">
        <v>43613</v>
      </c>
      <c r="C151">
        <v>469</v>
      </c>
      <c r="D151">
        <v>469</v>
      </c>
      <c r="E151">
        <v>469</v>
      </c>
      <c r="F151">
        <v>469</v>
      </c>
      <c r="G151">
        <v>154</v>
      </c>
      <c r="H151" t="s">
        <v>75</v>
      </c>
      <c r="I151" t="s">
        <v>26</v>
      </c>
      <c r="J151">
        <v>0.85</v>
      </c>
      <c r="K151">
        <v>-0.25437201907790141</v>
      </c>
      <c r="L151">
        <v>-0.1043720190779014</v>
      </c>
    </row>
    <row r="152" spans="1:13" x14ac:dyDescent="0.3">
      <c r="A152" s="1">
        <v>73202</v>
      </c>
      <c r="B152" s="4">
        <v>43938</v>
      </c>
      <c r="C152">
        <v>950</v>
      </c>
      <c r="D152">
        <v>950</v>
      </c>
      <c r="E152">
        <v>920</v>
      </c>
      <c r="F152">
        <v>936.5</v>
      </c>
      <c r="G152">
        <v>44</v>
      </c>
      <c r="H152" t="s">
        <v>75</v>
      </c>
      <c r="I152" t="s">
        <v>26</v>
      </c>
      <c r="J152">
        <v>0.85</v>
      </c>
      <c r="K152">
        <v>-0.17123893805309731</v>
      </c>
      <c r="L152">
        <v>-2.1238938053097289E-2</v>
      </c>
    </row>
    <row r="153" spans="1:13" x14ac:dyDescent="0.3">
      <c r="A153" s="1">
        <v>73425</v>
      </c>
      <c r="B153" s="4">
        <v>44280</v>
      </c>
      <c r="C153">
        <v>3220.5</v>
      </c>
      <c r="D153">
        <v>3270</v>
      </c>
      <c r="E153">
        <v>2697.5</v>
      </c>
      <c r="F153">
        <v>2803</v>
      </c>
      <c r="G153">
        <v>9422</v>
      </c>
      <c r="H153" t="s">
        <v>75</v>
      </c>
      <c r="I153" t="s">
        <v>26</v>
      </c>
      <c r="J153">
        <v>0.85</v>
      </c>
      <c r="K153">
        <v>-0.2195461506334401</v>
      </c>
      <c r="L153">
        <v>-6.9546150633440051E-2</v>
      </c>
    </row>
    <row r="154" spans="1:13" x14ac:dyDescent="0.3">
      <c r="A154" s="1">
        <v>74298</v>
      </c>
      <c r="B154" s="4">
        <v>44144</v>
      </c>
      <c r="C154">
        <v>3855</v>
      </c>
      <c r="D154">
        <v>3855</v>
      </c>
      <c r="E154">
        <v>2700</v>
      </c>
      <c r="F154">
        <v>2990</v>
      </c>
      <c r="G154">
        <v>1694</v>
      </c>
      <c r="H154" t="s">
        <v>76</v>
      </c>
      <c r="I154" t="s">
        <v>26</v>
      </c>
      <c r="J154">
        <v>0.85</v>
      </c>
      <c r="K154">
        <v>-0.22538860103626951</v>
      </c>
      <c r="L154">
        <v>-7.5388601036269431E-2</v>
      </c>
    </row>
    <row r="155" spans="1:13" x14ac:dyDescent="0.3">
      <c r="A155" s="1">
        <v>75822</v>
      </c>
      <c r="B155" s="6">
        <v>45315</v>
      </c>
      <c r="C155" s="7">
        <v>18100</v>
      </c>
      <c r="D155" s="7">
        <v>18100</v>
      </c>
      <c r="E155" s="7">
        <v>17391.5</v>
      </c>
      <c r="F155" s="7">
        <v>17655.5</v>
      </c>
      <c r="G155" s="7">
        <v>447</v>
      </c>
      <c r="H155" s="7" t="s">
        <v>77</v>
      </c>
      <c r="I155" s="7" t="s">
        <v>78</v>
      </c>
      <c r="J155" s="7">
        <v>0.7</v>
      </c>
      <c r="K155" s="7">
        <v>-0.49567241773308962</v>
      </c>
      <c r="L155" s="7">
        <v>-0.19567241773308949</v>
      </c>
      <c r="M155" s="7" t="s">
        <v>329</v>
      </c>
    </row>
    <row r="156" spans="1:13" x14ac:dyDescent="0.3">
      <c r="A156" s="1">
        <v>76308</v>
      </c>
      <c r="B156" s="6">
        <v>45315</v>
      </c>
      <c r="C156" s="7">
        <v>14.5</v>
      </c>
      <c r="D156" s="7">
        <v>14.5</v>
      </c>
      <c r="E156" s="7">
        <v>14.5</v>
      </c>
      <c r="F156" s="7">
        <v>14.5</v>
      </c>
      <c r="G156" s="7">
        <v>12</v>
      </c>
      <c r="H156" s="7" t="s">
        <v>79</v>
      </c>
      <c r="I156" s="7" t="s">
        <v>12</v>
      </c>
      <c r="J156" s="7">
        <v>0.7</v>
      </c>
      <c r="K156" s="7">
        <v>-0.51585976627712848</v>
      </c>
      <c r="L156" s="7">
        <v>-0.21585976627712841</v>
      </c>
      <c r="M156" s="7" t="s">
        <v>332</v>
      </c>
    </row>
    <row r="157" spans="1:13" x14ac:dyDescent="0.3">
      <c r="A157" s="1">
        <v>79122</v>
      </c>
      <c r="B157" s="4">
        <v>43689</v>
      </c>
      <c r="C157">
        <v>278.95</v>
      </c>
      <c r="D157">
        <v>278.95</v>
      </c>
      <c r="E157">
        <v>185</v>
      </c>
      <c r="F157">
        <v>187.65</v>
      </c>
      <c r="G157">
        <v>995372</v>
      </c>
      <c r="H157" t="s">
        <v>80</v>
      </c>
      <c r="I157" t="s">
        <v>12</v>
      </c>
      <c r="J157">
        <v>0.8</v>
      </c>
      <c r="K157">
        <v>-0.46515604959384349</v>
      </c>
      <c r="L157">
        <v>-0.26515604959384348</v>
      </c>
    </row>
    <row r="158" spans="1:13" x14ac:dyDescent="0.3">
      <c r="A158" s="1">
        <v>80370</v>
      </c>
      <c r="B158" s="6">
        <v>44126</v>
      </c>
      <c r="C158" s="7">
        <v>3691.5</v>
      </c>
      <c r="D158" s="7">
        <v>3705.5</v>
      </c>
      <c r="E158" s="7">
        <v>3691.5</v>
      </c>
      <c r="F158" s="7">
        <v>3705.5</v>
      </c>
      <c r="G158" s="7">
        <v>145</v>
      </c>
      <c r="H158" s="7" t="s">
        <v>81</v>
      </c>
      <c r="I158" s="7" t="s">
        <v>26</v>
      </c>
      <c r="J158" s="7">
        <v>0.85</v>
      </c>
      <c r="K158" s="7">
        <v>-0.66004587155963301</v>
      </c>
      <c r="L158" s="7">
        <v>-0.51004587155963299</v>
      </c>
      <c r="M158" s="7" t="s">
        <v>329</v>
      </c>
    </row>
    <row r="159" spans="1:13" x14ac:dyDescent="0.3">
      <c r="A159" s="1">
        <v>80373</v>
      </c>
      <c r="B159" s="4">
        <v>44134</v>
      </c>
      <c r="C159">
        <v>3002.5</v>
      </c>
      <c r="D159">
        <v>3002.5</v>
      </c>
      <c r="E159">
        <v>3002.5</v>
      </c>
      <c r="F159">
        <v>3002.5</v>
      </c>
      <c r="G159">
        <v>800</v>
      </c>
      <c r="H159" t="s">
        <v>81</v>
      </c>
      <c r="I159" t="s">
        <v>26</v>
      </c>
      <c r="J159">
        <v>0.85</v>
      </c>
      <c r="K159">
        <v>-0.1508766968325792</v>
      </c>
      <c r="L159">
        <v>-8.7669683257918241E-4</v>
      </c>
    </row>
    <row r="160" spans="1:13" x14ac:dyDescent="0.3">
      <c r="A160" s="1">
        <v>81081</v>
      </c>
      <c r="B160" s="4">
        <v>45257</v>
      </c>
      <c r="C160">
        <v>16863</v>
      </c>
      <c r="D160">
        <v>16863</v>
      </c>
      <c r="E160">
        <v>13600</v>
      </c>
      <c r="F160">
        <v>14028.5</v>
      </c>
      <c r="G160">
        <v>1700</v>
      </c>
      <c r="H160" t="s">
        <v>81</v>
      </c>
      <c r="I160" t="s">
        <v>26</v>
      </c>
      <c r="J160">
        <v>0.85</v>
      </c>
      <c r="K160">
        <v>-0.16816389457143699</v>
      </c>
      <c r="L160">
        <v>-1.8163894571436971E-2</v>
      </c>
    </row>
    <row r="161" spans="1:13" x14ac:dyDescent="0.3">
      <c r="A161" s="1">
        <v>81415</v>
      </c>
      <c r="B161" s="4">
        <v>43916</v>
      </c>
      <c r="C161">
        <v>666.5</v>
      </c>
      <c r="D161">
        <v>666.5</v>
      </c>
      <c r="E161">
        <v>633</v>
      </c>
      <c r="F161">
        <v>646</v>
      </c>
      <c r="G161">
        <v>280</v>
      </c>
      <c r="H161" t="s">
        <v>82</v>
      </c>
      <c r="I161" t="s">
        <v>26</v>
      </c>
      <c r="J161">
        <v>0.85</v>
      </c>
      <c r="K161">
        <v>-0.1970167806090739</v>
      </c>
      <c r="L161">
        <v>-4.7016780609073883E-2</v>
      </c>
    </row>
    <row r="162" spans="1:13" x14ac:dyDescent="0.3">
      <c r="A162" s="1">
        <v>81920</v>
      </c>
      <c r="B162" s="4">
        <v>44735</v>
      </c>
      <c r="C162">
        <v>4250</v>
      </c>
      <c r="D162">
        <v>4250</v>
      </c>
      <c r="E162">
        <v>4073</v>
      </c>
      <c r="F162">
        <v>4155.5</v>
      </c>
      <c r="G162">
        <v>974</v>
      </c>
      <c r="H162" t="s">
        <v>82</v>
      </c>
      <c r="I162" t="s">
        <v>26</v>
      </c>
      <c r="J162">
        <v>0.85</v>
      </c>
      <c r="K162">
        <v>-0.16690056134723341</v>
      </c>
      <c r="L162">
        <v>-1.6900561347233389E-2</v>
      </c>
    </row>
    <row r="163" spans="1:13" x14ac:dyDescent="0.3">
      <c r="A163" s="1">
        <v>82472</v>
      </c>
      <c r="B163" s="6">
        <v>44337</v>
      </c>
      <c r="C163" s="7">
        <v>75.5</v>
      </c>
      <c r="D163" s="7">
        <v>75.5</v>
      </c>
      <c r="E163" s="7">
        <v>75.5</v>
      </c>
      <c r="F163" s="7">
        <v>75.5</v>
      </c>
      <c r="G163" s="7">
        <v>50000</v>
      </c>
      <c r="H163" s="7" t="s">
        <v>83</v>
      </c>
      <c r="I163" s="7" t="s">
        <v>39</v>
      </c>
      <c r="J163" s="7">
        <v>0.7</v>
      </c>
      <c r="K163" s="7">
        <v>-0.40031771247021453</v>
      </c>
      <c r="L163" s="7">
        <v>-0.1003177124702145</v>
      </c>
      <c r="M163" s="7" t="s">
        <v>330</v>
      </c>
    </row>
    <row r="164" spans="1:13" x14ac:dyDescent="0.3">
      <c r="A164" s="1">
        <v>82525</v>
      </c>
      <c r="B164" s="6">
        <v>44432</v>
      </c>
      <c r="C164" s="7">
        <v>58.6</v>
      </c>
      <c r="D164" s="7">
        <v>58.6</v>
      </c>
      <c r="E164" s="7">
        <v>58.5</v>
      </c>
      <c r="F164" s="7">
        <v>58.5</v>
      </c>
      <c r="G164" s="7">
        <v>200000</v>
      </c>
      <c r="H164" s="7" t="s">
        <v>83</v>
      </c>
      <c r="I164" s="7" t="s">
        <v>39</v>
      </c>
      <c r="J164" s="7">
        <v>0.7</v>
      </c>
      <c r="K164" s="7">
        <v>-0.3093270365997639</v>
      </c>
      <c r="L164" s="7">
        <v>-9.3270365997638605E-3</v>
      </c>
      <c r="M164" s="7" t="s">
        <v>330</v>
      </c>
    </row>
    <row r="165" spans="1:13" x14ac:dyDescent="0.3">
      <c r="A165" s="1">
        <v>82571</v>
      </c>
      <c r="B165" s="6">
        <v>44524</v>
      </c>
      <c r="C165" s="7">
        <v>38.700000000000003</v>
      </c>
      <c r="D165" s="7">
        <v>38.700000000000003</v>
      </c>
      <c r="E165" s="7">
        <v>38.700000000000003</v>
      </c>
      <c r="F165" s="7">
        <v>38.700000000000003</v>
      </c>
      <c r="G165" s="7">
        <v>50000</v>
      </c>
      <c r="H165" s="7" t="s">
        <v>83</v>
      </c>
      <c r="I165" s="7" t="s">
        <v>39</v>
      </c>
      <c r="J165" s="7">
        <v>0.7</v>
      </c>
      <c r="K165" s="7">
        <v>-0.3905511811023622</v>
      </c>
      <c r="L165" s="7">
        <v>-9.0551181102362155E-2</v>
      </c>
      <c r="M165" s="7" t="s">
        <v>330</v>
      </c>
    </row>
    <row r="166" spans="1:13" x14ac:dyDescent="0.3">
      <c r="A166" s="1">
        <v>82606</v>
      </c>
      <c r="B166" s="6">
        <v>44622</v>
      </c>
      <c r="C166" s="7">
        <v>19.8</v>
      </c>
      <c r="D166" s="7">
        <v>19.8</v>
      </c>
      <c r="E166" s="7">
        <v>19.8</v>
      </c>
      <c r="F166" s="7">
        <v>19.8</v>
      </c>
      <c r="G166" s="7">
        <v>100000</v>
      </c>
      <c r="H166" s="7" t="s">
        <v>83</v>
      </c>
      <c r="I166" s="7" t="s">
        <v>39</v>
      </c>
      <c r="J166" s="7">
        <v>0.7</v>
      </c>
      <c r="K166" s="7">
        <v>-0.54166666666666674</v>
      </c>
      <c r="L166" s="7">
        <v>-0.2416666666666667</v>
      </c>
      <c r="M166" s="7" t="s">
        <v>330</v>
      </c>
    </row>
    <row r="167" spans="1:13" x14ac:dyDescent="0.3">
      <c r="A167" s="1">
        <v>85473</v>
      </c>
      <c r="B167" s="4">
        <v>43906</v>
      </c>
      <c r="C167">
        <v>331</v>
      </c>
      <c r="D167">
        <v>331</v>
      </c>
      <c r="E167">
        <v>331</v>
      </c>
      <c r="F167">
        <v>331</v>
      </c>
      <c r="G167">
        <v>30</v>
      </c>
      <c r="H167" t="s">
        <v>84</v>
      </c>
      <c r="I167" t="s">
        <v>26</v>
      </c>
      <c r="J167">
        <v>0.85</v>
      </c>
      <c r="K167">
        <v>-0.16202531645569621</v>
      </c>
      <c r="L167">
        <v>-1.2025316455696161E-2</v>
      </c>
    </row>
    <row r="168" spans="1:13" x14ac:dyDescent="0.3">
      <c r="A168" s="1">
        <v>85938</v>
      </c>
      <c r="B168" s="4">
        <v>44617</v>
      </c>
      <c r="C168">
        <v>1252</v>
      </c>
      <c r="D168">
        <v>1500</v>
      </c>
      <c r="E168">
        <v>1218.5</v>
      </c>
      <c r="F168">
        <v>1229.5</v>
      </c>
      <c r="G168">
        <v>12829</v>
      </c>
      <c r="H168" t="s">
        <v>84</v>
      </c>
      <c r="I168" t="s">
        <v>26</v>
      </c>
      <c r="J168">
        <v>0.85</v>
      </c>
      <c r="K168">
        <v>-0.19719229513548811</v>
      </c>
      <c r="L168">
        <v>-4.719229513548806E-2</v>
      </c>
    </row>
    <row r="169" spans="1:13" x14ac:dyDescent="0.3">
      <c r="A169" s="1">
        <v>86668</v>
      </c>
      <c r="B169" s="6">
        <v>41453</v>
      </c>
      <c r="C169" s="7">
        <v>556</v>
      </c>
      <c r="D169" s="7">
        <v>556</v>
      </c>
      <c r="E169" s="7">
        <v>556</v>
      </c>
      <c r="F169" s="7">
        <v>556</v>
      </c>
      <c r="G169" s="7">
        <v>100000</v>
      </c>
      <c r="H169" s="7" t="s">
        <v>85</v>
      </c>
      <c r="I169" s="7" t="s">
        <v>15</v>
      </c>
      <c r="J169" s="7">
        <v>0.8</v>
      </c>
      <c r="K169" s="7">
        <v>-0.2169014084507043</v>
      </c>
      <c r="L169" s="7">
        <v>-1.690140845070431E-2</v>
      </c>
      <c r="M169" s="7" t="s">
        <v>330</v>
      </c>
    </row>
    <row r="170" spans="1:13" x14ac:dyDescent="0.3">
      <c r="A170" s="1">
        <v>86969</v>
      </c>
      <c r="B170" s="6">
        <v>43515</v>
      </c>
      <c r="C170" s="7">
        <v>2710</v>
      </c>
      <c r="D170" s="7">
        <v>2710</v>
      </c>
      <c r="E170" s="7">
        <v>2710</v>
      </c>
      <c r="F170" s="7">
        <v>2710</v>
      </c>
      <c r="G170" s="7">
        <v>185000</v>
      </c>
      <c r="H170" s="7" t="s">
        <v>85</v>
      </c>
      <c r="I170" s="7" t="s">
        <v>15</v>
      </c>
      <c r="J170" s="7">
        <v>0.8</v>
      </c>
      <c r="K170" s="7">
        <v>-0.2868421052631579</v>
      </c>
      <c r="L170" s="7">
        <v>-8.6842105263157943E-2</v>
      </c>
      <c r="M170" s="7" t="s">
        <v>330</v>
      </c>
    </row>
    <row r="171" spans="1:13" x14ac:dyDescent="0.3">
      <c r="A171" s="1">
        <v>86971</v>
      </c>
      <c r="B171" s="6">
        <v>43873</v>
      </c>
      <c r="C171" s="7">
        <v>1535.5</v>
      </c>
      <c r="D171" s="7">
        <v>1535.5</v>
      </c>
      <c r="E171" s="7">
        <v>1535.5</v>
      </c>
      <c r="F171" s="7">
        <v>1535.5</v>
      </c>
      <c r="G171" s="7">
        <v>100000</v>
      </c>
      <c r="H171" s="7" t="s">
        <v>85</v>
      </c>
      <c r="I171" s="7" t="s">
        <v>15</v>
      </c>
      <c r="J171" s="7">
        <v>0.8</v>
      </c>
      <c r="K171" s="7">
        <v>-0.43754578754578749</v>
      </c>
      <c r="L171" s="7">
        <v>-0.23754578754578759</v>
      </c>
      <c r="M171" s="7" t="s">
        <v>330</v>
      </c>
    </row>
    <row r="172" spans="1:13" x14ac:dyDescent="0.3">
      <c r="A172" s="1">
        <v>87227</v>
      </c>
      <c r="B172" s="6">
        <v>43794</v>
      </c>
      <c r="C172" s="7">
        <v>2816</v>
      </c>
      <c r="D172" s="7">
        <v>2816</v>
      </c>
      <c r="E172" s="7">
        <v>2816</v>
      </c>
      <c r="F172" s="7">
        <v>2816</v>
      </c>
      <c r="G172" s="7">
        <v>200000</v>
      </c>
      <c r="H172" s="7" t="s">
        <v>86</v>
      </c>
      <c r="I172" s="7" t="s">
        <v>15</v>
      </c>
      <c r="J172" s="7">
        <v>0.8</v>
      </c>
      <c r="K172" s="7">
        <v>-0.25757975217505941</v>
      </c>
      <c r="L172" s="7">
        <v>-5.7579752175059402E-2</v>
      </c>
      <c r="M172" s="7" t="s">
        <v>331</v>
      </c>
    </row>
    <row r="173" spans="1:13" x14ac:dyDescent="0.3">
      <c r="A173" s="1">
        <v>93121</v>
      </c>
      <c r="B173" s="4">
        <v>43571</v>
      </c>
      <c r="C173">
        <v>1440</v>
      </c>
      <c r="D173">
        <v>1440</v>
      </c>
      <c r="E173">
        <v>1440</v>
      </c>
      <c r="F173">
        <v>1440</v>
      </c>
      <c r="G173">
        <v>45</v>
      </c>
      <c r="H173" t="s">
        <v>87</v>
      </c>
      <c r="I173" t="s">
        <v>65</v>
      </c>
      <c r="J173">
        <v>0.7</v>
      </c>
      <c r="K173">
        <v>-0.35570469798657722</v>
      </c>
      <c r="L173">
        <v>-5.5704697986577179E-2</v>
      </c>
    </row>
    <row r="174" spans="1:13" x14ac:dyDescent="0.3">
      <c r="A174" s="1">
        <v>93193</v>
      </c>
      <c r="B174" s="4">
        <v>43754</v>
      </c>
      <c r="C174">
        <v>970</v>
      </c>
      <c r="D174">
        <v>985</v>
      </c>
      <c r="E174">
        <v>970</v>
      </c>
      <c r="F174">
        <v>985</v>
      </c>
      <c r="G174">
        <v>20094</v>
      </c>
      <c r="H174" t="s">
        <v>87</v>
      </c>
      <c r="I174" t="s">
        <v>65</v>
      </c>
      <c r="J174">
        <v>0.7</v>
      </c>
      <c r="K174">
        <v>-0.52300242130750607</v>
      </c>
      <c r="L174">
        <v>-0.223002421307506</v>
      </c>
    </row>
    <row r="175" spans="1:13" x14ac:dyDescent="0.3">
      <c r="A175" s="1">
        <v>93576</v>
      </c>
      <c r="B175" s="4">
        <v>43893</v>
      </c>
      <c r="C175">
        <v>1479</v>
      </c>
      <c r="D175">
        <v>1479</v>
      </c>
      <c r="E175">
        <v>1479</v>
      </c>
      <c r="F175">
        <v>1479</v>
      </c>
      <c r="G175">
        <v>1502</v>
      </c>
      <c r="H175" t="s">
        <v>88</v>
      </c>
      <c r="I175" t="s">
        <v>26</v>
      </c>
      <c r="J175">
        <v>0.85</v>
      </c>
      <c r="K175">
        <v>-0.2219884271436087</v>
      </c>
      <c r="L175">
        <v>-7.1988427143608646E-2</v>
      </c>
    </row>
    <row r="176" spans="1:13" x14ac:dyDescent="0.3">
      <c r="A176" s="1">
        <v>93578</v>
      </c>
      <c r="B176" s="4">
        <v>43920</v>
      </c>
      <c r="C176">
        <v>740</v>
      </c>
      <c r="D176">
        <v>740</v>
      </c>
      <c r="E176">
        <v>726</v>
      </c>
      <c r="F176">
        <v>727</v>
      </c>
      <c r="G176">
        <v>1103</v>
      </c>
      <c r="H176" t="s">
        <v>88</v>
      </c>
      <c r="I176" t="s">
        <v>26</v>
      </c>
      <c r="J176">
        <v>0.85</v>
      </c>
      <c r="K176">
        <v>-0.4894662921348315</v>
      </c>
      <c r="L176">
        <v>-0.33946629213483148</v>
      </c>
    </row>
    <row r="177" spans="1:13" x14ac:dyDescent="0.3">
      <c r="A177" s="1">
        <v>93688</v>
      </c>
      <c r="B177" s="4">
        <v>44133</v>
      </c>
      <c r="C177">
        <v>1360.5</v>
      </c>
      <c r="D177">
        <v>1451.5</v>
      </c>
      <c r="E177">
        <v>1335</v>
      </c>
      <c r="F177">
        <v>1336</v>
      </c>
      <c r="G177">
        <v>2144</v>
      </c>
      <c r="H177" t="s">
        <v>88</v>
      </c>
      <c r="I177" t="s">
        <v>26</v>
      </c>
      <c r="J177">
        <v>0.85</v>
      </c>
      <c r="K177">
        <v>-0.17505402902130279</v>
      </c>
      <c r="L177">
        <v>-2.505402902130283E-2</v>
      </c>
    </row>
    <row r="178" spans="1:13" x14ac:dyDescent="0.3">
      <c r="A178" s="1">
        <v>99285</v>
      </c>
      <c r="B178" s="6">
        <v>42377</v>
      </c>
      <c r="C178" s="7">
        <v>54</v>
      </c>
      <c r="D178" s="7">
        <v>54</v>
      </c>
      <c r="E178" s="7">
        <v>54</v>
      </c>
      <c r="F178" s="7">
        <v>54</v>
      </c>
      <c r="G178" s="7">
        <v>500</v>
      </c>
      <c r="H178" s="7" t="s">
        <v>89</v>
      </c>
      <c r="I178" s="7" t="s">
        <v>25</v>
      </c>
      <c r="J178" s="7">
        <v>0.8</v>
      </c>
      <c r="K178" s="7">
        <v>-0.43866943866943858</v>
      </c>
      <c r="L178" s="7">
        <v>-0.23866943866943871</v>
      </c>
      <c r="M178" s="7" t="s">
        <v>331</v>
      </c>
    </row>
    <row r="179" spans="1:13" x14ac:dyDescent="0.3">
      <c r="A179" s="1">
        <v>99340</v>
      </c>
      <c r="B179" s="4">
        <v>42912</v>
      </c>
      <c r="C179">
        <v>125.75</v>
      </c>
      <c r="D179">
        <v>125.75</v>
      </c>
      <c r="E179">
        <v>125.75</v>
      </c>
      <c r="F179">
        <v>125.75</v>
      </c>
      <c r="G179">
        <v>6000</v>
      </c>
      <c r="H179" t="s">
        <v>89</v>
      </c>
      <c r="I179" t="s">
        <v>25</v>
      </c>
      <c r="J179">
        <v>0.8</v>
      </c>
      <c r="K179">
        <v>-0.27667529479436292</v>
      </c>
      <c r="L179">
        <v>-7.6675294794362969E-2</v>
      </c>
      <c r="M179" t="s">
        <v>331</v>
      </c>
    </row>
    <row r="180" spans="1:13" x14ac:dyDescent="0.3">
      <c r="A180" s="1">
        <v>99398</v>
      </c>
      <c r="B180" s="4">
        <v>43920</v>
      </c>
      <c r="C180">
        <v>454.5</v>
      </c>
      <c r="D180">
        <v>454.5</v>
      </c>
      <c r="E180">
        <v>454.5</v>
      </c>
      <c r="F180">
        <v>454.5</v>
      </c>
      <c r="G180">
        <v>1000</v>
      </c>
      <c r="H180" t="s">
        <v>89</v>
      </c>
      <c r="I180" t="s">
        <v>25</v>
      </c>
      <c r="J180">
        <v>0.8</v>
      </c>
      <c r="K180">
        <v>-0.32164179104477608</v>
      </c>
      <c r="L180">
        <v>-0.1216417910447761</v>
      </c>
    </row>
    <row r="181" spans="1:13" x14ac:dyDescent="0.3">
      <c r="A181" s="1">
        <v>107259</v>
      </c>
      <c r="B181" s="4">
        <v>44204</v>
      </c>
      <c r="C181">
        <v>2850</v>
      </c>
      <c r="D181">
        <v>2918</v>
      </c>
      <c r="E181">
        <v>2850</v>
      </c>
      <c r="F181">
        <v>2910</v>
      </c>
      <c r="G181">
        <v>11</v>
      </c>
      <c r="H181" t="s">
        <v>90</v>
      </c>
      <c r="I181" t="s">
        <v>26</v>
      </c>
      <c r="J181">
        <v>0.85</v>
      </c>
      <c r="K181">
        <v>-0.3220733838089691</v>
      </c>
      <c r="L181">
        <v>-0.17207338380896911</v>
      </c>
    </row>
    <row r="182" spans="1:13" x14ac:dyDescent="0.3">
      <c r="A182" s="1">
        <v>111993</v>
      </c>
      <c r="B182" s="4">
        <v>43999</v>
      </c>
      <c r="C182">
        <v>2775</v>
      </c>
      <c r="D182">
        <v>2775</v>
      </c>
      <c r="E182">
        <v>2775</v>
      </c>
      <c r="F182">
        <v>2775</v>
      </c>
      <c r="G182">
        <v>220</v>
      </c>
      <c r="H182" t="s">
        <v>91</v>
      </c>
      <c r="I182" t="s">
        <v>26</v>
      </c>
      <c r="J182">
        <v>0.85</v>
      </c>
      <c r="K182">
        <v>-0.29809029973441259</v>
      </c>
      <c r="L182">
        <v>-0.14809029973441259</v>
      </c>
    </row>
    <row r="183" spans="1:13" x14ac:dyDescent="0.3">
      <c r="A183" s="1">
        <v>112089</v>
      </c>
      <c r="B183" s="4">
        <v>44701</v>
      </c>
      <c r="C183">
        <v>36295.5</v>
      </c>
      <c r="D183">
        <v>36300</v>
      </c>
      <c r="E183">
        <v>36295.5</v>
      </c>
      <c r="F183">
        <v>36300</v>
      </c>
      <c r="G183">
        <v>2</v>
      </c>
      <c r="H183" t="s">
        <v>91</v>
      </c>
      <c r="I183" t="s">
        <v>26</v>
      </c>
      <c r="J183">
        <v>0.85</v>
      </c>
      <c r="K183">
        <v>-0.34035980374341268</v>
      </c>
      <c r="L183">
        <v>-0.19035980374341269</v>
      </c>
    </row>
    <row r="184" spans="1:13" x14ac:dyDescent="0.3">
      <c r="A184" s="1">
        <v>112180</v>
      </c>
      <c r="B184" s="6">
        <v>44882</v>
      </c>
      <c r="C184" s="7">
        <v>3034</v>
      </c>
      <c r="D184" s="7">
        <v>3034</v>
      </c>
      <c r="E184" s="7">
        <v>2815</v>
      </c>
      <c r="F184" s="7">
        <v>2918</v>
      </c>
      <c r="G184" s="7">
        <v>402</v>
      </c>
      <c r="H184" s="7" t="s">
        <v>91</v>
      </c>
      <c r="I184" s="7" t="s">
        <v>26</v>
      </c>
      <c r="J184" s="7">
        <v>0.85</v>
      </c>
      <c r="K184" s="7">
        <v>-0.96150395778364117</v>
      </c>
      <c r="L184" s="7">
        <v>-0.81150395778364115</v>
      </c>
      <c r="M184" s="7" t="s">
        <v>329</v>
      </c>
    </row>
    <row r="185" spans="1:13" x14ac:dyDescent="0.3">
      <c r="A185" s="1">
        <v>112460</v>
      </c>
      <c r="B185" s="4">
        <v>45336</v>
      </c>
      <c r="C185">
        <v>6200</v>
      </c>
      <c r="D185">
        <v>6293</v>
      </c>
      <c r="E185">
        <v>5458</v>
      </c>
      <c r="F185">
        <v>5478</v>
      </c>
      <c r="G185">
        <v>10552</v>
      </c>
      <c r="H185" t="s">
        <v>91</v>
      </c>
      <c r="I185" t="s">
        <v>26</v>
      </c>
      <c r="J185">
        <v>0.85</v>
      </c>
      <c r="K185">
        <v>-0.32118959107806688</v>
      </c>
      <c r="L185">
        <v>-0.17118959107806689</v>
      </c>
    </row>
    <row r="186" spans="1:13" x14ac:dyDescent="0.3">
      <c r="A186" s="1">
        <v>115274</v>
      </c>
      <c r="B186" s="4">
        <v>42058</v>
      </c>
      <c r="C186">
        <v>199.9</v>
      </c>
      <c r="D186">
        <v>201.65</v>
      </c>
      <c r="E186">
        <v>199.9</v>
      </c>
      <c r="F186">
        <v>201.65</v>
      </c>
      <c r="G186">
        <v>4500</v>
      </c>
      <c r="H186" t="s">
        <v>92</v>
      </c>
      <c r="I186" t="s">
        <v>26</v>
      </c>
      <c r="J186">
        <v>0.85</v>
      </c>
      <c r="K186">
        <v>-0.2112262859378056</v>
      </c>
      <c r="L186">
        <v>-6.1226285937805547E-2</v>
      </c>
      <c r="M186" t="s">
        <v>331</v>
      </c>
    </row>
    <row r="187" spans="1:13" x14ac:dyDescent="0.3">
      <c r="A187" s="1">
        <v>115955</v>
      </c>
      <c r="B187" s="4">
        <v>44735</v>
      </c>
      <c r="C187">
        <v>8805.5</v>
      </c>
      <c r="D187">
        <v>8805.5</v>
      </c>
      <c r="E187">
        <v>8358.5</v>
      </c>
      <c r="F187">
        <v>8439</v>
      </c>
      <c r="G187">
        <v>559</v>
      </c>
      <c r="H187" t="s">
        <v>92</v>
      </c>
      <c r="I187" t="s">
        <v>26</v>
      </c>
      <c r="J187">
        <v>0.85</v>
      </c>
      <c r="K187">
        <v>-0.15605780289014451</v>
      </c>
      <c r="L187">
        <v>-6.0578028901444592E-3</v>
      </c>
      <c r="M187" t="s">
        <v>331</v>
      </c>
    </row>
    <row r="188" spans="1:13" x14ac:dyDescent="0.3">
      <c r="A188" s="1">
        <v>116056</v>
      </c>
      <c r="B188" s="6">
        <v>44882</v>
      </c>
      <c r="C188" s="7">
        <v>3772</v>
      </c>
      <c r="D188" s="7">
        <v>3861</v>
      </c>
      <c r="E188" s="7">
        <v>3725.5</v>
      </c>
      <c r="F188" s="7">
        <v>3856</v>
      </c>
      <c r="G188" s="7">
        <v>2932</v>
      </c>
      <c r="H188" s="7" t="s">
        <v>92</v>
      </c>
      <c r="I188" s="7" t="s">
        <v>26</v>
      </c>
      <c r="J188" s="7">
        <v>0.85</v>
      </c>
      <c r="K188" s="7">
        <v>-0.74378737541528239</v>
      </c>
      <c r="L188" s="7">
        <v>-0.59378737541528237</v>
      </c>
      <c r="M188" s="7" t="s">
        <v>329</v>
      </c>
    </row>
    <row r="189" spans="1:13" x14ac:dyDescent="0.3">
      <c r="A189" s="1">
        <v>116443</v>
      </c>
      <c r="B189" s="4">
        <v>44274</v>
      </c>
      <c r="C189">
        <v>731</v>
      </c>
      <c r="D189">
        <v>731</v>
      </c>
      <c r="E189">
        <v>731</v>
      </c>
      <c r="F189">
        <v>731</v>
      </c>
      <c r="G189">
        <v>410</v>
      </c>
      <c r="H189" t="s">
        <v>93</v>
      </c>
      <c r="I189" t="s">
        <v>12</v>
      </c>
      <c r="J189">
        <v>0.7</v>
      </c>
      <c r="K189">
        <v>-0.68491379310344835</v>
      </c>
      <c r="L189">
        <v>-0.38491379310344831</v>
      </c>
      <c r="M189" t="s">
        <v>329</v>
      </c>
    </row>
    <row r="190" spans="1:13" x14ac:dyDescent="0.3">
      <c r="A190" s="1">
        <v>116861</v>
      </c>
      <c r="B190" s="4">
        <v>45167</v>
      </c>
      <c r="C190">
        <v>855.5</v>
      </c>
      <c r="D190">
        <v>881.5</v>
      </c>
      <c r="E190">
        <v>841</v>
      </c>
      <c r="F190">
        <v>876.5</v>
      </c>
      <c r="G190">
        <v>38464</v>
      </c>
      <c r="H190" t="s">
        <v>93</v>
      </c>
      <c r="I190" t="s">
        <v>12</v>
      </c>
      <c r="J190">
        <v>0.7</v>
      </c>
      <c r="K190">
        <v>-0.71947511601856295</v>
      </c>
      <c r="L190">
        <v>-0.41947511601856291</v>
      </c>
      <c r="M190" t="s">
        <v>329</v>
      </c>
    </row>
    <row r="191" spans="1:13" x14ac:dyDescent="0.3">
      <c r="A191" s="1">
        <v>117024</v>
      </c>
      <c r="B191" s="4">
        <v>41376</v>
      </c>
      <c r="C191">
        <v>145.05000000000001</v>
      </c>
      <c r="D191">
        <v>145.05000000000001</v>
      </c>
      <c r="E191">
        <v>145.05000000000001</v>
      </c>
      <c r="F191">
        <v>145.05000000000001</v>
      </c>
      <c r="G191">
        <v>1330</v>
      </c>
      <c r="H191" t="s">
        <v>94</v>
      </c>
      <c r="I191" t="s">
        <v>26</v>
      </c>
      <c r="J191">
        <v>0.85</v>
      </c>
      <c r="K191">
        <v>-0.17019450800915331</v>
      </c>
      <c r="L191">
        <v>-2.019450800915323E-2</v>
      </c>
      <c r="M191" t="s">
        <v>331</v>
      </c>
    </row>
    <row r="192" spans="1:13" x14ac:dyDescent="0.3">
      <c r="A192" s="1">
        <v>117025</v>
      </c>
      <c r="B192" s="4">
        <v>41495</v>
      </c>
      <c r="C192">
        <v>119.4</v>
      </c>
      <c r="D192">
        <v>119.4</v>
      </c>
      <c r="E192">
        <v>119.4</v>
      </c>
      <c r="F192">
        <v>119.4</v>
      </c>
      <c r="G192">
        <v>206</v>
      </c>
      <c r="H192" t="s">
        <v>94</v>
      </c>
      <c r="I192" t="s">
        <v>26</v>
      </c>
      <c r="J192">
        <v>0.85</v>
      </c>
      <c r="K192">
        <v>-0.1768355739400207</v>
      </c>
      <c r="L192">
        <v>-2.683557394002067E-2</v>
      </c>
      <c r="M192" t="s">
        <v>331</v>
      </c>
    </row>
    <row r="193" spans="1:13" x14ac:dyDescent="0.3">
      <c r="A193" s="1">
        <v>117062</v>
      </c>
      <c r="B193" s="4">
        <v>44224</v>
      </c>
      <c r="C193">
        <v>1190</v>
      </c>
      <c r="D193">
        <v>1220</v>
      </c>
      <c r="E193">
        <v>1190</v>
      </c>
      <c r="F193">
        <v>1220</v>
      </c>
      <c r="G193">
        <v>11</v>
      </c>
      <c r="H193" t="s">
        <v>94</v>
      </c>
      <c r="I193" t="s">
        <v>26</v>
      </c>
      <c r="J193">
        <v>0.85</v>
      </c>
      <c r="K193">
        <v>-0.30839002267573701</v>
      </c>
      <c r="L193">
        <v>-0.15839002267573701</v>
      </c>
    </row>
    <row r="194" spans="1:13" x14ac:dyDescent="0.3">
      <c r="A194" s="1">
        <v>117065</v>
      </c>
      <c r="B194" s="4">
        <v>44229</v>
      </c>
      <c r="C194">
        <v>1699</v>
      </c>
      <c r="D194">
        <v>1720</v>
      </c>
      <c r="E194">
        <v>1389</v>
      </c>
      <c r="F194">
        <v>1409.5</v>
      </c>
      <c r="G194">
        <v>1332</v>
      </c>
      <c r="H194" t="s">
        <v>94</v>
      </c>
      <c r="I194" t="s">
        <v>26</v>
      </c>
      <c r="J194">
        <v>0.85</v>
      </c>
      <c r="K194">
        <v>-0.18052325581395351</v>
      </c>
      <c r="L194">
        <v>-3.0523255813953432E-2</v>
      </c>
    </row>
    <row r="195" spans="1:13" x14ac:dyDescent="0.3">
      <c r="A195" s="1">
        <v>124592</v>
      </c>
      <c r="B195" s="4">
        <v>42769</v>
      </c>
      <c r="C195">
        <v>27.55</v>
      </c>
      <c r="D195">
        <v>28.5</v>
      </c>
      <c r="E195">
        <v>27</v>
      </c>
      <c r="F195">
        <v>27</v>
      </c>
      <c r="G195">
        <v>577364</v>
      </c>
      <c r="H195" t="s">
        <v>95</v>
      </c>
      <c r="I195" t="s">
        <v>12</v>
      </c>
      <c r="J195">
        <v>0.8</v>
      </c>
      <c r="K195">
        <v>-0.87441860465116283</v>
      </c>
      <c r="L195">
        <v>-0.67441860465116288</v>
      </c>
      <c r="M195" t="s">
        <v>329</v>
      </c>
    </row>
    <row r="196" spans="1:13" x14ac:dyDescent="0.3">
      <c r="A196" s="1">
        <v>125203</v>
      </c>
      <c r="B196" s="4">
        <v>43689</v>
      </c>
      <c r="C196">
        <v>31</v>
      </c>
      <c r="D196">
        <v>31</v>
      </c>
      <c r="E196">
        <v>20</v>
      </c>
      <c r="F196">
        <v>21.35</v>
      </c>
      <c r="G196">
        <v>2867888</v>
      </c>
      <c r="H196" t="s">
        <v>95</v>
      </c>
      <c r="I196" t="s">
        <v>12</v>
      </c>
      <c r="J196">
        <v>0.8</v>
      </c>
      <c r="K196">
        <v>-0.47218788627935732</v>
      </c>
      <c r="L196">
        <v>-0.27218788627935731</v>
      </c>
    </row>
    <row r="197" spans="1:13" x14ac:dyDescent="0.3">
      <c r="A197" s="1">
        <v>129556</v>
      </c>
      <c r="B197" s="4">
        <v>45222</v>
      </c>
      <c r="C197">
        <v>22944.5</v>
      </c>
      <c r="D197">
        <v>24414</v>
      </c>
      <c r="E197">
        <v>20605</v>
      </c>
      <c r="F197">
        <v>20605</v>
      </c>
      <c r="G197">
        <v>1434</v>
      </c>
      <c r="H197" t="s">
        <v>96</v>
      </c>
      <c r="I197" t="s">
        <v>26</v>
      </c>
      <c r="J197">
        <v>0.85</v>
      </c>
      <c r="K197">
        <v>-0.15016910005774151</v>
      </c>
      <c r="L197">
        <v>-1.6910005774151141E-4</v>
      </c>
    </row>
    <row r="198" spans="1:13" x14ac:dyDescent="0.3">
      <c r="A198" s="1">
        <v>129983</v>
      </c>
      <c r="B198" s="4">
        <v>44742</v>
      </c>
      <c r="C198">
        <v>47</v>
      </c>
      <c r="D198">
        <v>47</v>
      </c>
      <c r="E198">
        <v>47</v>
      </c>
      <c r="F198">
        <v>47</v>
      </c>
      <c r="G198">
        <v>50000</v>
      </c>
      <c r="H198" t="s">
        <v>97</v>
      </c>
      <c r="I198" t="s">
        <v>98</v>
      </c>
      <c r="J198">
        <v>0.7</v>
      </c>
      <c r="K198">
        <v>-0.4337349397590361</v>
      </c>
      <c r="L198">
        <v>-0.13373493975903611</v>
      </c>
      <c r="M198" t="s">
        <v>330</v>
      </c>
    </row>
    <row r="199" spans="1:13" x14ac:dyDescent="0.3">
      <c r="A199" s="1">
        <v>131680</v>
      </c>
      <c r="B199" s="4">
        <v>45223</v>
      </c>
      <c r="C199">
        <v>44000</v>
      </c>
      <c r="D199">
        <v>44666.5</v>
      </c>
      <c r="E199">
        <v>39900</v>
      </c>
      <c r="F199">
        <v>39900</v>
      </c>
      <c r="G199">
        <v>950942</v>
      </c>
      <c r="H199" t="s">
        <v>99</v>
      </c>
      <c r="I199" t="s">
        <v>100</v>
      </c>
      <c r="J199">
        <v>0.9</v>
      </c>
      <c r="K199">
        <v>-0.11529933481153</v>
      </c>
      <c r="L199">
        <v>-1.5299334811530009E-2</v>
      </c>
      <c r="M199" t="s">
        <v>330</v>
      </c>
    </row>
    <row r="200" spans="1:13" x14ac:dyDescent="0.3">
      <c r="A200" s="1">
        <v>131850</v>
      </c>
      <c r="B200" s="4">
        <v>44768</v>
      </c>
      <c r="C200">
        <v>814</v>
      </c>
      <c r="D200">
        <v>814</v>
      </c>
      <c r="E200">
        <v>651.5</v>
      </c>
      <c r="F200">
        <v>656.5</v>
      </c>
      <c r="G200">
        <v>133301</v>
      </c>
      <c r="H200" t="s">
        <v>101</v>
      </c>
      <c r="I200" t="s">
        <v>26</v>
      </c>
      <c r="J200">
        <v>0.85</v>
      </c>
      <c r="K200">
        <v>-0.19348894348894349</v>
      </c>
      <c r="L200">
        <v>-4.3488943488943499E-2</v>
      </c>
    </row>
    <row r="201" spans="1:13" x14ac:dyDescent="0.3">
      <c r="A201" s="1">
        <v>132205</v>
      </c>
      <c r="B201" s="4">
        <v>45303</v>
      </c>
      <c r="C201">
        <v>6211</v>
      </c>
      <c r="D201">
        <v>6299</v>
      </c>
      <c r="E201">
        <v>5400</v>
      </c>
      <c r="F201">
        <v>5582.5</v>
      </c>
      <c r="G201">
        <v>79861</v>
      </c>
      <c r="H201" t="s">
        <v>101</v>
      </c>
      <c r="I201" t="s">
        <v>26</v>
      </c>
      <c r="J201">
        <v>0.85</v>
      </c>
      <c r="K201">
        <v>-0.16933263894055511</v>
      </c>
      <c r="L201">
        <v>-1.9332638940555039E-2</v>
      </c>
    </row>
    <row r="202" spans="1:13" x14ac:dyDescent="0.3">
      <c r="A202" s="1">
        <v>133892</v>
      </c>
      <c r="B202" s="4">
        <v>43682</v>
      </c>
      <c r="C202">
        <v>1.85</v>
      </c>
      <c r="D202">
        <v>1.96</v>
      </c>
      <c r="E202">
        <v>1.8</v>
      </c>
      <c r="F202">
        <v>1.92</v>
      </c>
      <c r="G202">
        <v>6138189</v>
      </c>
      <c r="H202" t="s">
        <v>102</v>
      </c>
      <c r="I202" t="s">
        <v>12</v>
      </c>
      <c r="J202">
        <v>0.8</v>
      </c>
      <c r="K202">
        <v>-0.39047619047619048</v>
      </c>
      <c r="L202">
        <v>-0.1904761904761906</v>
      </c>
    </row>
    <row r="203" spans="1:13" x14ac:dyDescent="0.3">
      <c r="A203" s="1">
        <v>133897</v>
      </c>
      <c r="B203" s="4">
        <v>43689</v>
      </c>
      <c r="C203">
        <v>1.6</v>
      </c>
      <c r="D203">
        <v>1.6</v>
      </c>
      <c r="E203">
        <v>1.3</v>
      </c>
      <c r="F203">
        <v>1.31</v>
      </c>
      <c r="G203">
        <v>11904967</v>
      </c>
      <c r="H203" t="s">
        <v>102</v>
      </c>
      <c r="I203" t="s">
        <v>12</v>
      </c>
      <c r="J203">
        <v>0.8</v>
      </c>
      <c r="K203">
        <v>-0.28021978021978022</v>
      </c>
      <c r="L203">
        <v>-8.0219780219780268E-2</v>
      </c>
    </row>
    <row r="204" spans="1:13" x14ac:dyDescent="0.3">
      <c r="A204" s="1">
        <v>135109</v>
      </c>
      <c r="B204" s="6">
        <v>44126</v>
      </c>
      <c r="C204" s="7">
        <v>5519.5</v>
      </c>
      <c r="D204" s="7">
        <v>5519.5</v>
      </c>
      <c r="E204" s="7">
        <v>5519</v>
      </c>
      <c r="F204" s="7">
        <v>5519</v>
      </c>
      <c r="G204" s="7">
        <v>3792</v>
      </c>
      <c r="H204" s="7" t="s">
        <v>103</v>
      </c>
      <c r="I204" s="7" t="s">
        <v>26</v>
      </c>
      <c r="J204" s="7">
        <v>0.85</v>
      </c>
      <c r="K204" s="7">
        <v>-0.65932098765432101</v>
      </c>
      <c r="L204" s="7">
        <v>-0.50932098765432099</v>
      </c>
      <c r="M204" s="7" t="s">
        <v>329</v>
      </c>
    </row>
    <row r="205" spans="1:13" x14ac:dyDescent="0.3">
      <c r="A205" s="1">
        <v>135596</v>
      </c>
      <c r="B205" s="6">
        <v>44882</v>
      </c>
      <c r="C205" s="7">
        <v>3568</v>
      </c>
      <c r="D205" s="7">
        <v>3636</v>
      </c>
      <c r="E205" s="7">
        <v>3536</v>
      </c>
      <c r="F205" s="7">
        <v>3636</v>
      </c>
      <c r="G205" s="7">
        <v>107</v>
      </c>
      <c r="H205" s="7" t="s">
        <v>103</v>
      </c>
      <c r="I205" s="7" t="s">
        <v>26</v>
      </c>
      <c r="J205" s="7">
        <v>0.85</v>
      </c>
      <c r="K205" s="7">
        <v>-0.7440337909186906</v>
      </c>
      <c r="L205" s="7">
        <v>-0.59403379091869057</v>
      </c>
      <c r="M205" s="7" t="s">
        <v>329</v>
      </c>
    </row>
    <row r="206" spans="1:13" x14ac:dyDescent="0.3">
      <c r="A206" s="1">
        <v>137183</v>
      </c>
      <c r="B206" s="4">
        <v>43868</v>
      </c>
      <c r="C206">
        <v>3900</v>
      </c>
      <c r="D206">
        <v>3900</v>
      </c>
      <c r="E206">
        <v>3900</v>
      </c>
      <c r="F206">
        <v>3900</v>
      </c>
      <c r="G206">
        <v>10778</v>
      </c>
      <c r="H206" t="s">
        <v>104</v>
      </c>
      <c r="I206" t="s">
        <v>98</v>
      </c>
      <c r="J206">
        <v>0.7</v>
      </c>
      <c r="K206">
        <v>-0.47154471544715448</v>
      </c>
      <c r="L206">
        <v>-0.17154471544715441</v>
      </c>
      <c r="M206" t="s">
        <v>332</v>
      </c>
    </row>
    <row r="207" spans="1:13" x14ac:dyDescent="0.3">
      <c r="A207" s="1">
        <v>139758</v>
      </c>
      <c r="B207" s="4">
        <v>43689</v>
      </c>
      <c r="C207">
        <v>35</v>
      </c>
      <c r="D207">
        <v>38</v>
      </c>
      <c r="E207">
        <v>30.5</v>
      </c>
      <c r="F207">
        <v>33.799999999999997</v>
      </c>
      <c r="G207">
        <v>260607</v>
      </c>
      <c r="H207" t="s">
        <v>105</v>
      </c>
      <c r="I207" t="s">
        <v>12</v>
      </c>
      <c r="J207">
        <v>0.8</v>
      </c>
      <c r="K207">
        <v>-0.24469273743016759</v>
      </c>
      <c r="L207">
        <v>-4.4692737430167662E-2</v>
      </c>
    </row>
    <row r="208" spans="1:13" x14ac:dyDescent="0.3">
      <c r="A208" s="1">
        <v>140928</v>
      </c>
      <c r="B208" s="4">
        <v>43903</v>
      </c>
      <c r="C208">
        <v>2140</v>
      </c>
      <c r="D208">
        <v>2140</v>
      </c>
      <c r="E208">
        <v>2050</v>
      </c>
      <c r="F208">
        <v>2062</v>
      </c>
      <c r="G208">
        <v>288</v>
      </c>
      <c r="H208" t="s">
        <v>106</v>
      </c>
      <c r="I208" t="s">
        <v>26</v>
      </c>
      <c r="J208">
        <v>0.85</v>
      </c>
      <c r="K208">
        <v>-0.21686289403721989</v>
      </c>
      <c r="L208">
        <v>-6.68628940372199E-2</v>
      </c>
    </row>
    <row r="209" spans="1:13" x14ac:dyDescent="0.3">
      <c r="A209" s="1">
        <v>141519</v>
      </c>
      <c r="B209" s="6">
        <v>44882</v>
      </c>
      <c r="C209" s="7">
        <v>2752</v>
      </c>
      <c r="D209" s="7">
        <v>2800</v>
      </c>
      <c r="E209" s="7">
        <v>2739</v>
      </c>
      <c r="F209" s="7">
        <v>2781</v>
      </c>
      <c r="G209" s="7">
        <v>517</v>
      </c>
      <c r="H209" s="7" t="s">
        <v>106</v>
      </c>
      <c r="I209" s="7" t="s">
        <v>26</v>
      </c>
      <c r="J209" s="7">
        <v>0.85</v>
      </c>
      <c r="K209" s="7">
        <v>-0.66754333532576204</v>
      </c>
      <c r="L209" s="7">
        <v>-0.51754333532576202</v>
      </c>
      <c r="M209" s="7" t="s">
        <v>329</v>
      </c>
    </row>
    <row r="210" spans="1:13" x14ac:dyDescent="0.3">
      <c r="A210" s="1">
        <v>142337</v>
      </c>
      <c r="B210" s="4">
        <v>45105</v>
      </c>
      <c r="C210">
        <v>19600</v>
      </c>
      <c r="D210">
        <v>22560</v>
      </c>
      <c r="E210">
        <v>19600</v>
      </c>
      <c r="F210">
        <v>22550</v>
      </c>
      <c r="G210">
        <v>740</v>
      </c>
      <c r="H210" t="s">
        <v>107</v>
      </c>
      <c r="I210" t="s">
        <v>98</v>
      </c>
      <c r="J210">
        <v>0.7</v>
      </c>
      <c r="K210">
        <v>-0.39054054054054049</v>
      </c>
      <c r="L210">
        <v>-9.0540540540540504E-2</v>
      </c>
      <c r="M210" t="s">
        <v>330</v>
      </c>
    </row>
    <row r="211" spans="1:13" x14ac:dyDescent="0.3">
      <c r="A211" s="1">
        <v>144680</v>
      </c>
      <c r="B211" s="4">
        <v>43543</v>
      </c>
      <c r="C211">
        <v>3762</v>
      </c>
      <c r="D211">
        <v>3762</v>
      </c>
      <c r="E211">
        <v>3762</v>
      </c>
      <c r="F211">
        <v>2525</v>
      </c>
      <c r="G211">
        <v>3900</v>
      </c>
      <c r="H211" t="s">
        <v>108</v>
      </c>
      <c r="I211" t="s">
        <v>12</v>
      </c>
      <c r="J211">
        <v>0.8</v>
      </c>
      <c r="K211">
        <v>-0.34670116429495468</v>
      </c>
      <c r="L211">
        <v>-0.14670116429495469</v>
      </c>
      <c r="M211" t="s">
        <v>331</v>
      </c>
    </row>
    <row r="212" spans="1:13" x14ac:dyDescent="0.3">
      <c r="A212" s="1">
        <v>151034</v>
      </c>
      <c r="B212" s="4">
        <v>43689</v>
      </c>
      <c r="C212">
        <v>194</v>
      </c>
      <c r="D212">
        <v>194</v>
      </c>
      <c r="E212">
        <v>128</v>
      </c>
      <c r="F212">
        <v>157</v>
      </c>
      <c r="G212">
        <v>71818</v>
      </c>
      <c r="H212" t="s">
        <v>109</v>
      </c>
      <c r="I212" t="s">
        <v>12</v>
      </c>
      <c r="J212">
        <v>0.8</v>
      </c>
      <c r="K212">
        <v>-0.35056876938986559</v>
      </c>
      <c r="L212">
        <v>-0.1505687693898656</v>
      </c>
    </row>
    <row r="213" spans="1:13" x14ac:dyDescent="0.3">
      <c r="A213" s="1">
        <v>152196</v>
      </c>
      <c r="B213" s="4">
        <v>45414</v>
      </c>
      <c r="C213">
        <v>5098</v>
      </c>
      <c r="D213">
        <v>5100</v>
      </c>
      <c r="E213">
        <v>3970</v>
      </c>
      <c r="F213">
        <v>4155</v>
      </c>
      <c r="G213">
        <v>48241</v>
      </c>
      <c r="H213" t="s">
        <v>110</v>
      </c>
      <c r="I213" t="s">
        <v>23</v>
      </c>
      <c r="J213">
        <v>0.85</v>
      </c>
      <c r="K213">
        <v>-0.20065409772989609</v>
      </c>
      <c r="L213">
        <v>-5.0654097729896042E-2</v>
      </c>
    </row>
    <row r="214" spans="1:13" x14ac:dyDescent="0.3">
      <c r="A214" s="1">
        <v>152723</v>
      </c>
      <c r="B214" s="4">
        <v>43993</v>
      </c>
      <c r="C214">
        <v>1350</v>
      </c>
      <c r="D214">
        <v>1355</v>
      </c>
      <c r="E214">
        <v>1220</v>
      </c>
      <c r="F214">
        <v>1220</v>
      </c>
      <c r="G214">
        <v>576</v>
      </c>
      <c r="H214" t="s">
        <v>111</v>
      </c>
      <c r="I214" t="s">
        <v>26</v>
      </c>
      <c r="J214">
        <v>0.85</v>
      </c>
      <c r="K214">
        <v>-0.18909936856098369</v>
      </c>
      <c r="L214">
        <v>-3.9099368560983727E-2</v>
      </c>
    </row>
    <row r="215" spans="1:13" x14ac:dyDescent="0.3">
      <c r="A215" s="1">
        <v>153204</v>
      </c>
      <c r="B215" s="4">
        <v>44735</v>
      </c>
      <c r="C215">
        <v>4399</v>
      </c>
      <c r="D215">
        <v>4399</v>
      </c>
      <c r="E215">
        <v>4143</v>
      </c>
      <c r="F215">
        <v>4240</v>
      </c>
      <c r="G215">
        <v>3927</v>
      </c>
      <c r="H215" t="s">
        <v>111</v>
      </c>
      <c r="I215" t="s">
        <v>26</v>
      </c>
      <c r="J215">
        <v>0.85</v>
      </c>
      <c r="K215">
        <v>-0.16172400158165279</v>
      </c>
      <c r="L215">
        <v>-1.1724001581652771E-2</v>
      </c>
      <c r="M215" t="s">
        <v>331</v>
      </c>
    </row>
    <row r="216" spans="1:13" x14ac:dyDescent="0.3">
      <c r="A216" s="1">
        <v>153590</v>
      </c>
      <c r="B216" s="6">
        <v>45315</v>
      </c>
      <c r="C216" s="7">
        <v>10953</v>
      </c>
      <c r="D216" s="7">
        <v>11990</v>
      </c>
      <c r="E216" s="7">
        <v>10953</v>
      </c>
      <c r="F216" s="7">
        <v>11788</v>
      </c>
      <c r="G216" s="7">
        <v>4684</v>
      </c>
      <c r="H216" s="7" t="s">
        <v>111</v>
      </c>
      <c r="I216" s="7" t="s">
        <v>26</v>
      </c>
      <c r="J216" s="7">
        <v>0.85</v>
      </c>
      <c r="K216" s="7">
        <v>-0.4843845682792407</v>
      </c>
      <c r="L216" s="7">
        <v>-0.33438456827924068</v>
      </c>
      <c r="M216" s="7" t="s">
        <v>329</v>
      </c>
    </row>
    <row r="217" spans="1:13" x14ac:dyDescent="0.3">
      <c r="A217" s="1">
        <v>153691</v>
      </c>
      <c r="B217" s="4">
        <v>42132</v>
      </c>
      <c r="C217">
        <v>122.4</v>
      </c>
      <c r="D217">
        <v>122.4</v>
      </c>
      <c r="E217">
        <v>122.4</v>
      </c>
      <c r="F217">
        <v>122.4</v>
      </c>
      <c r="G217">
        <v>816</v>
      </c>
      <c r="H217" t="s">
        <v>112</v>
      </c>
      <c r="I217" t="s">
        <v>26</v>
      </c>
      <c r="J217">
        <v>0.85</v>
      </c>
      <c r="K217">
        <v>-0.2238427393785668</v>
      </c>
      <c r="L217">
        <v>-7.384273937856678E-2</v>
      </c>
      <c r="M217" t="s">
        <v>331</v>
      </c>
    </row>
    <row r="218" spans="1:13" x14ac:dyDescent="0.3">
      <c r="A218" s="1">
        <v>153696</v>
      </c>
      <c r="B218" s="4">
        <v>42333</v>
      </c>
      <c r="C218">
        <v>91.25</v>
      </c>
      <c r="D218">
        <v>91.25</v>
      </c>
      <c r="E218">
        <v>91.25</v>
      </c>
      <c r="F218">
        <v>91.25</v>
      </c>
      <c r="G218">
        <v>1640</v>
      </c>
      <c r="H218" t="s">
        <v>112</v>
      </c>
      <c r="I218" t="s">
        <v>26</v>
      </c>
      <c r="J218">
        <v>0.85</v>
      </c>
      <c r="K218">
        <v>-0.1760722347629797</v>
      </c>
      <c r="L218">
        <v>-2.607223476297971E-2</v>
      </c>
      <c r="M218" t="s">
        <v>331</v>
      </c>
    </row>
    <row r="219" spans="1:13" x14ac:dyDescent="0.3">
      <c r="A219" s="1">
        <v>153697</v>
      </c>
      <c r="B219" s="4">
        <v>42356</v>
      </c>
      <c r="C219">
        <v>73.45</v>
      </c>
      <c r="D219">
        <v>73.45</v>
      </c>
      <c r="E219">
        <v>73.45</v>
      </c>
      <c r="F219">
        <v>73.45</v>
      </c>
      <c r="G219">
        <v>680</v>
      </c>
      <c r="H219" t="s">
        <v>112</v>
      </c>
      <c r="I219" t="s">
        <v>26</v>
      </c>
      <c r="J219">
        <v>0.85</v>
      </c>
      <c r="K219">
        <v>-0.19506849315068489</v>
      </c>
      <c r="L219">
        <v>-4.5068493150684841E-2</v>
      </c>
      <c r="M219" t="s">
        <v>331</v>
      </c>
    </row>
    <row r="220" spans="1:13" x14ac:dyDescent="0.3">
      <c r="A220" s="1">
        <v>153762</v>
      </c>
      <c r="B220" s="4">
        <v>43907</v>
      </c>
      <c r="C220">
        <v>160</v>
      </c>
      <c r="D220">
        <v>160</v>
      </c>
      <c r="E220">
        <v>160</v>
      </c>
      <c r="F220">
        <v>160</v>
      </c>
      <c r="G220">
        <v>68</v>
      </c>
      <c r="H220" t="s">
        <v>112</v>
      </c>
      <c r="I220" t="s">
        <v>26</v>
      </c>
      <c r="J220">
        <v>0.85</v>
      </c>
      <c r="K220">
        <v>-0.31914893617021278</v>
      </c>
      <c r="L220">
        <v>-0.16914893617021279</v>
      </c>
    </row>
    <row r="221" spans="1:13" x14ac:dyDescent="0.3">
      <c r="A221" s="1">
        <v>153887</v>
      </c>
      <c r="B221" s="4">
        <v>44111</v>
      </c>
      <c r="C221">
        <v>755</v>
      </c>
      <c r="D221">
        <v>1050</v>
      </c>
      <c r="E221">
        <v>601.5</v>
      </c>
      <c r="F221">
        <v>606</v>
      </c>
      <c r="G221">
        <v>7885</v>
      </c>
      <c r="H221" t="s">
        <v>112</v>
      </c>
      <c r="I221" t="s">
        <v>26</v>
      </c>
      <c r="J221">
        <v>0.85</v>
      </c>
      <c r="K221">
        <v>-0.18328840970350399</v>
      </c>
      <c r="L221">
        <v>-3.3288409703504003E-2</v>
      </c>
    </row>
    <row r="222" spans="1:13" x14ac:dyDescent="0.3">
      <c r="A222" s="1">
        <v>154611</v>
      </c>
      <c r="B222" s="4">
        <v>45222</v>
      </c>
      <c r="C222">
        <v>5771.5</v>
      </c>
      <c r="D222">
        <v>5900</v>
      </c>
      <c r="E222">
        <v>5090.5</v>
      </c>
      <c r="F222">
        <v>5091.5</v>
      </c>
      <c r="G222">
        <v>124</v>
      </c>
      <c r="H222" t="s">
        <v>112</v>
      </c>
      <c r="I222" t="s">
        <v>26</v>
      </c>
      <c r="J222">
        <v>0.85</v>
      </c>
      <c r="K222">
        <v>-0.15995710278831879</v>
      </c>
      <c r="L222">
        <v>-9.9571027883187391E-3</v>
      </c>
    </row>
    <row r="223" spans="1:13" x14ac:dyDescent="0.3">
      <c r="A223" s="1">
        <v>154898</v>
      </c>
      <c r="B223" s="4">
        <v>43887</v>
      </c>
      <c r="C223">
        <v>758</v>
      </c>
      <c r="D223">
        <v>758</v>
      </c>
      <c r="E223">
        <v>758</v>
      </c>
      <c r="F223">
        <v>758</v>
      </c>
      <c r="G223">
        <v>3955</v>
      </c>
      <c r="H223" t="s">
        <v>113</v>
      </c>
      <c r="I223" t="s">
        <v>26</v>
      </c>
      <c r="J223">
        <v>0.85</v>
      </c>
      <c r="K223">
        <v>-0.22415557830092109</v>
      </c>
      <c r="L223">
        <v>-7.4155578300921121E-2</v>
      </c>
    </row>
    <row r="224" spans="1:13" x14ac:dyDescent="0.3">
      <c r="A224" s="1">
        <v>155763</v>
      </c>
      <c r="B224" s="6">
        <v>44126</v>
      </c>
      <c r="C224" s="7">
        <v>4300</v>
      </c>
      <c r="D224" s="7">
        <v>4324</v>
      </c>
      <c r="E224" s="7">
        <v>4269</v>
      </c>
      <c r="F224" s="7">
        <v>4323</v>
      </c>
      <c r="G224" s="7">
        <v>799</v>
      </c>
      <c r="H224" s="7" t="s">
        <v>114</v>
      </c>
      <c r="I224" s="7" t="s">
        <v>26</v>
      </c>
      <c r="J224" s="7">
        <v>0.85</v>
      </c>
      <c r="K224" s="7">
        <v>-0.79763130792996906</v>
      </c>
      <c r="L224" s="7">
        <v>-0.64763130792996904</v>
      </c>
      <c r="M224" s="7" t="s">
        <v>329</v>
      </c>
    </row>
    <row r="225" spans="1:13" x14ac:dyDescent="0.3">
      <c r="A225" s="1">
        <v>156255</v>
      </c>
      <c r="B225" s="6">
        <v>44882</v>
      </c>
      <c r="C225" s="7">
        <v>3330.5</v>
      </c>
      <c r="D225" s="7">
        <v>3464</v>
      </c>
      <c r="E225" s="7">
        <v>3304</v>
      </c>
      <c r="F225" s="7">
        <v>3464</v>
      </c>
      <c r="G225" s="7">
        <v>652</v>
      </c>
      <c r="H225" s="7" t="s">
        <v>114</v>
      </c>
      <c r="I225" s="7" t="s">
        <v>26</v>
      </c>
      <c r="J225" s="7">
        <v>0.85</v>
      </c>
      <c r="K225" s="7">
        <v>-0.73823018212045644</v>
      </c>
      <c r="L225" s="7">
        <v>-0.58823018212045641</v>
      </c>
      <c r="M225" s="7" t="s">
        <v>329</v>
      </c>
    </row>
    <row r="226" spans="1:13" x14ac:dyDescent="0.3">
      <c r="A226" s="1">
        <v>156650</v>
      </c>
      <c r="B226" s="4">
        <v>41442</v>
      </c>
      <c r="C226">
        <v>467.8</v>
      </c>
      <c r="D226">
        <v>467.8</v>
      </c>
      <c r="E226">
        <v>467.8</v>
      </c>
      <c r="F226">
        <v>467.8</v>
      </c>
      <c r="G226">
        <v>332</v>
      </c>
      <c r="H226" t="s">
        <v>115</v>
      </c>
      <c r="I226" t="s">
        <v>26</v>
      </c>
      <c r="J226">
        <v>0.85</v>
      </c>
      <c r="K226">
        <v>-0.15084407333454339</v>
      </c>
      <c r="L226">
        <v>-8.4407333454339373E-4</v>
      </c>
      <c r="M226" t="s">
        <v>331</v>
      </c>
    </row>
    <row r="227" spans="1:13" x14ac:dyDescent="0.3">
      <c r="A227" s="1">
        <v>156695</v>
      </c>
      <c r="B227" s="4">
        <v>43907</v>
      </c>
      <c r="C227">
        <v>4982</v>
      </c>
      <c r="D227">
        <v>4982</v>
      </c>
      <c r="E227">
        <v>4982</v>
      </c>
      <c r="F227">
        <v>4982</v>
      </c>
      <c r="G227">
        <v>200</v>
      </c>
      <c r="H227" t="s">
        <v>115</v>
      </c>
      <c r="I227" t="s">
        <v>26</v>
      </c>
      <c r="J227">
        <v>0.85</v>
      </c>
      <c r="K227">
        <v>-0.17748060095756979</v>
      </c>
      <c r="L227">
        <v>-2.7480600957569771E-2</v>
      </c>
    </row>
    <row r="228" spans="1:13" x14ac:dyDescent="0.3">
      <c r="A228" s="1">
        <v>156721</v>
      </c>
      <c r="B228" s="4">
        <v>44133</v>
      </c>
      <c r="C228">
        <v>3336</v>
      </c>
      <c r="D228">
        <v>3336</v>
      </c>
      <c r="E228">
        <v>3336</v>
      </c>
      <c r="F228">
        <v>3336</v>
      </c>
      <c r="G228">
        <v>3</v>
      </c>
      <c r="H228" t="s">
        <v>115</v>
      </c>
      <c r="I228" t="s">
        <v>26</v>
      </c>
      <c r="J228">
        <v>0.85</v>
      </c>
      <c r="K228">
        <v>-0.71719226856561547</v>
      </c>
      <c r="L228">
        <v>-0.56719226856561544</v>
      </c>
      <c r="M228" t="s">
        <v>329</v>
      </c>
    </row>
    <row r="229" spans="1:13" x14ac:dyDescent="0.3">
      <c r="A229" s="1">
        <v>159329</v>
      </c>
      <c r="B229" s="4">
        <v>43689</v>
      </c>
      <c r="C229">
        <v>23</v>
      </c>
      <c r="D229">
        <v>23</v>
      </c>
      <c r="E229">
        <v>14.55</v>
      </c>
      <c r="F229">
        <v>15</v>
      </c>
      <c r="G229">
        <v>370179</v>
      </c>
      <c r="H229" t="s">
        <v>116</v>
      </c>
      <c r="I229" t="s">
        <v>15</v>
      </c>
      <c r="J229">
        <v>0.7</v>
      </c>
      <c r="K229">
        <v>-0.47643979057591618</v>
      </c>
      <c r="L229">
        <v>-0.17643979057591619</v>
      </c>
    </row>
    <row r="230" spans="1:13" x14ac:dyDescent="0.3">
      <c r="A230" s="1">
        <v>164389</v>
      </c>
      <c r="B230" s="4">
        <v>43689</v>
      </c>
      <c r="C230">
        <v>4600</v>
      </c>
      <c r="D230">
        <v>4750</v>
      </c>
      <c r="E230">
        <v>4000</v>
      </c>
      <c r="F230">
        <v>4290</v>
      </c>
      <c r="G230">
        <v>2587580</v>
      </c>
      <c r="H230" t="s">
        <v>117</v>
      </c>
      <c r="I230" t="s">
        <v>12</v>
      </c>
      <c r="J230">
        <v>0.9</v>
      </c>
      <c r="K230">
        <v>-0.14114114114114121</v>
      </c>
      <c r="L230">
        <v>-4.1141141141141202E-2</v>
      </c>
    </row>
    <row r="231" spans="1:13" x14ac:dyDescent="0.3">
      <c r="A231" s="1">
        <v>164390</v>
      </c>
      <c r="B231" s="4">
        <v>43690</v>
      </c>
      <c r="C231">
        <v>2030</v>
      </c>
      <c r="D231">
        <v>2030</v>
      </c>
      <c r="E231">
        <v>2030</v>
      </c>
      <c r="F231">
        <v>2030</v>
      </c>
      <c r="G231">
        <v>131</v>
      </c>
      <c r="H231" t="s">
        <v>117</v>
      </c>
      <c r="I231" t="s">
        <v>12</v>
      </c>
      <c r="J231">
        <v>0.9</v>
      </c>
      <c r="K231">
        <v>-0.52680652680652673</v>
      </c>
      <c r="L231">
        <v>-0.42680652680652681</v>
      </c>
    </row>
    <row r="232" spans="1:13" x14ac:dyDescent="0.3">
      <c r="A232" s="1">
        <v>164395</v>
      </c>
      <c r="B232" s="4">
        <v>43698</v>
      </c>
      <c r="C232">
        <v>3850</v>
      </c>
      <c r="D232">
        <v>3898.5</v>
      </c>
      <c r="E232">
        <v>3750</v>
      </c>
      <c r="F232">
        <v>3850</v>
      </c>
      <c r="G232">
        <v>208456</v>
      </c>
      <c r="H232" t="s">
        <v>117</v>
      </c>
      <c r="I232" t="s">
        <v>12</v>
      </c>
      <c r="J232">
        <v>0.9</v>
      </c>
      <c r="K232">
        <v>-0.10879629629629629</v>
      </c>
      <c r="L232">
        <v>-8.7962962962963021E-3</v>
      </c>
    </row>
    <row r="233" spans="1:13" x14ac:dyDescent="0.3">
      <c r="A233" s="1">
        <v>164483</v>
      </c>
      <c r="B233" s="4">
        <v>43826</v>
      </c>
      <c r="C233">
        <v>6150</v>
      </c>
      <c r="D233">
        <v>6150</v>
      </c>
      <c r="E233">
        <v>5500</v>
      </c>
      <c r="F233">
        <v>5640</v>
      </c>
      <c r="G233">
        <v>657371</v>
      </c>
      <c r="H233" t="s">
        <v>117</v>
      </c>
      <c r="I233" t="s">
        <v>12</v>
      </c>
      <c r="J233">
        <v>0.9</v>
      </c>
      <c r="K233">
        <v>-0.1173708920187794</v>
      </c>
      <c r="L233">
        <v>-1.737089201877939E-2</v>
      </c>
      <c r="M233" t="s">
        <v>330</v>
      </c>
    </row>
    <row r="234" spans="1:13" x14ac:dyDescent="0.3">
      <c r="A234" s="1">
        <v>164535</v>
      </c>
      <c r="B234" s="4">
        <v>43906</v>
      </c>
      <c r="C234">
        <v>4300</v>
      </c>
      <c r="D234">
        <v>4300</v>
      </c>
      <c r="E234">
        <v>3984</v>
      </c>
      <c r="F234">
        <v>3985</v>
      </c>
      <c r="G234">
        <v>312448</v>
      </c>
      <c r="H234" t="s">
        <v>117</v>
      </c>
      <c r="I234" t="s">
        <v>12</v>
      </c>
      <c r="J234">
        <v>0.9</v>
      </c>
      <c r="K234">
        <v>-0.100451467268623</v>
      </c>
      <c r="L234">
        <v>-4.5146726862299591E-4</v>
      </c>
    </row>
    <row r="235" spans="1:13" x14ac:dyDescent="0.3">
      <c r="A235" s="1">
        <v>164667</v>
      </c>
      <c r="B235" s="4">
        <v>44134</v>
      </c>
      <c r="C235">
        <v>6000</v>
      </c>
      <c r="D235">
        <v>6000</v>
      </c>
      <c r="E235">
        <v>6000</v>
      </c>
      <c r="F235">
        <v>6000</v>
      </c>
      <c r="G235">
        <v>3700</v>
      </c>
      <c r="H235" t="s">
        <v>117</v>
      </c>
      <c r="I235" t="s">
        <v>12</v>
      </c>
      <c r="J235">
        <v>0.9</v>
      </c>
      <c r="K235">
        <v>-0.18166939443535191</v>
      </c>
      <c r="L235">
        <v>-8.1669394435351927E-2</v>
      </c>
    </row>
    <row r="236" spans="1:13" x14ac:dyDescent="0.3">
      <c r="A236" s="1">
        <v>166419</v>
      </c>
      <c r="B236" s="4">
        <v>43689</v>
      </c>
      <c r="C236">
        <v>800</v>
      </c>
      <c r="D236">
        <v>801</v>
      </c>
      <c r="E236">
        <v>700</v>
      </c>
      <c r="F236">
        <v>700</v>
      </c>
      <c r="G236">
        <v>463728</v>
      </c>
      <c r="H236" t="s">
        <v>118</v>
      </c>
      <c r="I236" t="s">
        <v>12</v>
      </c>
      <c r="J236">
        <v>0.9</v>
      </c>
      <c r="K236">
        <v>-0.26315789473684209</v>
      </c>
      <c r="L236">
        <v>-0.1631578947368422</v>
      </c>
    </row>
    <row r="237" spans="1:13" x14ac:dyDescent="0.3">
      <c r="A237" s="1">
        <v>166421</v>
      </c>
      <c r="B237" s="4">
        <v>43691</v>
      </c>
      <c r="C237">
        <v>611</v>
      </c>
      <c r="D237">
        <v>611</v>
      </c>
      <c r="E237">
        <v>560</v>
      </c>
      <c r="F237">
        <v>613.79999999999995</v>
      </c>
      <c r="G237">
        <v>1724021</v>
      </c>
      <c r="H237" t="s">
        <v>118</v>
      </c>
      <c r="I237" t="s">
        <v>12</v>
      </c>
      <c r="J237">
        <v>0.9</v>
      </c>
      <c r="K237">
        <v>-0.1039416058394161</v>
      </c>
      <c r="L237">
        <v>-3.9416058394161624E-3</v>
      </c>
    </row>
    <row r="238" spans="1:13" x14ac:dyDescent="0.3">
      <c r="A238" s="1">
        <v>166429</v>
      </c>
      <c r="B238" s="4">
        <v>43704</v>
      </c>
      <c r="C238">
        <v>534</v>
      </c>
      <c r="D238">
        <v>534</v>
      </c>
      <c r="E238">
        <v>470</v>
      </c>
      <c r="F238">
        <v>480</v>
      </c>
      <c r="G238">
        <v>167380</v>
      </c>
      <c r="H238" t="s">
        <v>118</v>
      </c>
      <c r="I238" t="s">
        <v>12</v>
      </c>
      <c r="J238">
        <v>0.9</v>
      </c>
      <c r="K238">
        <v>-0.1905564924114671</v>
      </c>
      <c r="L238">
        <v>-9.0556492411467127E-2</v>
      </c>
    </row>
    <row r="239" spans="1:13" x14ac:dyDescent="0.3">
      <c r="A239" s="1">
        <v>166567</v>
      </c>
      <c r="B239" s="4">
        <v>43908</v>
      </c>
      <c r="C239">
        <v>1000</v>
      </c>
      <c r="D239">
        <v>1000</v>
      </c>
      <c r="E239">
        <v>930</v>
      </c>
      <c r="F239">
        <v>945</v>
      </c>
      <c r="G239">
        <v>42922</v>
      </c>
      <c r="H239" t="s">
        <v>118</v>
      </c>
      <c r="I239" t="s">
        <v>12</v>
      </c>
      <c r="J239">
        <v>0.9</v>
      </c>
      <c r="K239">
        <v>-0.1042654028436019</v>
      </c>
      <c r="L239">
        <v>-4.2654028436018843E-3</v>
      </c>
    </row>
    <row r="240" spans="1:13" x14ac:dyDescent="0.3">
      <c r="A240" s="1">
        <v>166580</v>
      </c>
      <c r="B240" s="4">
        <v>43934</v>
      </c>
      <c r="C240">
        <v>910</v>
      </c>
      <c r="D240">
        <v>928</v>
      </c>
      <c r="E240">
        <v>910</v>
      </c>
      <c r="F240">
        <v>915</v>
      </c>
      <c r="G240">
        <v>394120</v>
      </c>
      <c r="H240" t="s">
        <v>118</v>
      </c>
      <c r="I240" t="s">
        <v>12</v>
      </c>
      <c r="J240">
        <v>0.9</v>
      </c>
      <c r="K240">
        <v>-0.18576195773081211</v>
      </c>
      <c r="L240">
        <v>-8.5761957730812077E-2</v>
      </c>
    </row>
    <row r="241" spans="1:13" x14ac:dyDescent="0.3">
      <c r="A241" s="1">
        <v>167908</v>
      </c>
      <c r="B241" s="4">
        <v>41806</v>
      </c>
      <c r="C241">
        <v>1225</v>
      </c>
      <c r="D241">
        <v>1225</v>
      </c>
      <c r="E241">
        <v>1147</v>
      </c>
      <c r="F241">
        <v>1147</v>
      </c>
      <c r="G241">
        <v>2065772</v>
      </c>
      <c r="H241" t="s">
        <v>119</v>
      </c>
      <c r="I241" t="s">
        <v>12</v>
      </c>
      <c r="J241">
        <v>0.9</v>
      </c>
      <c r="K241">
        <v>-0.109126213592233</v>
      </c>
      <c r="L241">
        <v>-9.126213592232979E-3</v>
      </c>
    </row>
    <row r="242" spans="1:13" x14ac:dyDescent="0.3">
      <c r="A242" s="1">
        <v>168348</v>
      </c>
      <c r="B242" s="4">
        <v>42487</v>
      </c>
      <c r="C242">
        <v>2285</v>
      </c>
      <c r="D242">
        <v>2285</v>
      </c>
      <c r="E242">
        <v>2285</v>
      </c>
      <c r="F242">
        <v>2285</v>
      </c>
      <c r="G242">
        <v>117000</v>
      </c>
      <c r="H242" t="s">
        <v>119</v>
      </c>
      <c r="I242" t="s">
        <v>12</v>
      </c>
      <c r="J242">
        <v>0.9</v>
      </c>
      <c r="K242">
        <v>-0.1261950286806883</v>
      </c>
      <c r="L242">
        <v>-2.6195028680688352E-2</v>
      </c>
    </row>
    <row r="243" spans="1:13" x14ac:dyDescent="0.3">
      <c r="A243" s="1">
        <v>169149</v>
      </c>
      <c r="B243" s="4">
        <v>43689</v>
      </c>
      <c r="C243">
        <v>5190</v>
      </c>
      <c r="D243">
        <v>5200</v>
      </c>
      <c r="E243">
        <v>4701</v>
      </c>
      <c r="F243">
        <v>4701</v>
      </c>
      <c r="G243">
        <v>616693</v>
      </c>
      <c r="H243" t="s">
        <v>119</v>
      </c>
      <c r="I243" t="s">
        <v>12</v>
      </c>
      <c r="J243">
        <v>0.9</v>
      </c>
      <c r="K243">
        <v>-0.1213084112149533</v>
      </c>
      <c r="L243">
        <v>-2.1308411214953301E-2</v>
      </c>
    </row>
    <row r="244" spans="1:13" x14ac:dyDescent="0.3">
      <c r="A244" s="1">
        <v>172071</v>
      </c>
      <c r="B244" s="6">
        <v>44882</v>
      </c>
      <c r="C244" s="7">
        <v>2547</v>
      </c>
      <c r="D244" s="7">
        <v>2830</v>
      </c>
      <c r="E244" s="7">
        <v>2490.5</v>
      </c>
      <c r="F244" s="7">
        <v>2553.5</v>
      </c>
      <c r="G244" s="7">
        <v>23764</v>
      </c>
      <c r="H244" s="7" t="s">
        <v>120</v>
      </c>
      <c r="I244" s="7" t="s">
        <v>25</v>
      </c>
      <c r="J244" s="7">
        <v>0.8</v>
      </c>
      <c r="K244" s="7">
        <v>-0.66579412342124211</v>
      </c>
      <c r="L244" s="7">
        <v>-0.46579412342124221</v>
      </c>
      <c r="M244" s="7" t="s">
        <v>329</v>
      </c>
    </row>
    <row r="245" spans="1:13" x14ac:dyDescent="0.3">
      <c r="A245" s="1">
        <v>174450</v>
      </c>
      <c r="B245" s="4">
        <v>44533</v>
      </c>
      <c r="C245">
        <v>2200</v>
      </c>
      <c r="D245">
        <v>2200</v>
      </c>
      <c r="E245">
        <v>1329</v>
      </c>
      <c r="F245">
        <v>1333.5</v>
      </c>
      <c r="G245">
        <v>52009</v>
      </c>
      <c r="H245" t="s">
        <v>121</v>
      </c>
      <c r="I245" t="s">
        <v>26</v>
      </c>
      <c r="J245">
        <v>0.85</v>
      </c>
      <c r="K245">
        <v>-0.42397408207343412</v>
      </c>
      <c r="L245">
        <v>-0.2739740820734341</v>
      </c>
    </row>
    <row r="246" spans="1:13" x14ac:dyDescent="0.3">
      <c r="A246" s="1">
        <v>174514</v>
      </c>
      <c r="B246" s="4">
        <v>44631</v>
      </c>
      <c r="C246">
        <v>790</v>
      </c>
      <c r="D246">
        <v>790</v>
      </c>
      <c r="E246">
        <v>611.5</v>
      </c>
      <c r="F246">
        <v>632</v>
      </c>
      <c r="G246">
        <v>8213</v>
      </c>
      <c r="H246" t="s">
        <v>121</v>
      </c>
      <c r="I246" t="s">
        <v>26</v>
      </c>
      <c r="J246">
        <v>0.85</v>
      </c>
      <c r="K246">
        <v>-0.2311435523114356</v>
      </c>
      <c r="L246">
        <v>-8.1143552311435552E-2</v>
      </c>
    </row>
    <row r="247" spans="1:13" x14ac:dyDescent="0.3">
      <c r="A247" s="1">
        <v>174573</v>
      </c>
      <c r="B247" s="4">
        <v>44722</v>
      </c>
      <c r="C247">
        <v>696.5</v>
      </c>
      <c r="D247">
        <v>696.5</v>
      </c>
      <c r="E247">
        <v>655</v>
      </c>
      <c r="F247">
        <v>684</v>
      </c>
      <c r="G247">
        <v>11082</v>
      </c>
      <c r="H247" t="s">
        <v>121</v>
      </c>
      <c r="I247" t="s">
        <v>26</v>
      </c>
      <c r="J247">
        <v>0.85</v>
      </c>
      <c r="K247">
        <v>-0.2142446869615163</v>
      </c>
      <c r="L247">
        <v>-6.4244686961516306E-2</v>
      </c>
    </row>
    <row r="248" spans="1:13" x14ac:dyDescent="0.3">
      <c r="A248" s="1">
        <v>174753</v>
      </c>
      <c r="B248" s="4">
        <v>44995</v>
      </c>
      <c r="C248">
        <v>988.5</v>
      </c>
      <c r="D248">
        <v>992.5</v>
      </c>
      <c r="E248">
        <v>886</v>
      </c>
      <c r="F248">
        <v>892</v>
      </c>
      <c r="G248">
        <v>46682</v>
      </c>
      <c r="H248" t="s">
        <v>121</v>
      </c>
      <c r="I248" t="s">
        <v>26</v>
      </c>
      <c r="J248">
        <v>0.85</v>
      </c>
      <c r="K248">
        <v>-0.2168568920105356</v>
      </c>
      <c r="L248">
        <v>-6.6856892010535574E-2</v>
      </c>
    </row>
    <row r="249" spans="1:13" x14ac:dyDescent="0.3">
      <c r="A249" s="1">
        <v>177883</v>
      </c>
      <c r="B249" s="4">
        <v>42107</v>
      </c>
      <c r="C249">
        <v>107.35</v>
      </c>
      <c r="D249">
        <v>107.35</v>
      </c>
      <c r="E249">
        <v>107.35</v>
      </c>
      <c r="F249">
        <v>107.35</v>
      </c>
      <c r="G249">
        <v>540</v>
      </c>
      <c r="H249" t="s">
        <v>122</v>
      </c>
      <c r="I249" t="s">
        <v>25</v>
      </c>
      <c r="J249">
        <v>0.8</v>
      </c>
      <c r="K249">
        <v>-0.21927272727272731</v>
      </c>
      <c r="L249">
        <v>-1.927272727272733E-2</v>
      </c>
      <c r="M249" t="s">
        <v>331</v>
      </c>
    </row>
    <row r="250" spans="1:13" x14ac:dyDescent="0.3">
      <c r="A250" s="1">
        <v>178607</v>
      </c>
      <c r="B250" s="4">
        <v>45208</v>
      </c>
      <c r="C250">
        <v>9550</v>
      </c>
      <c r="D250">
        <v>9550</v>
      </c>
      <c r="E250">
        <v>7707.5</v>
      </c>
      <c r="F250">
        <v>7833</v>
      </c>
      <c r="G250">
        <v>6568</v>
      </c>
      <c r="H250" t="s">
        <v>123</v>
      </c>
      <c r="I250" t="s">
        <v>26</v>
      </c>
      <c r="J250">
        <v>0.85</v>
      </c>
      <c r="K250">
        <v>-0.1522727272727272</v>
      </c>
      <c r="L250">
        <v>-2.2727272727272041E-3</v>
      </c>
    </row>
    <row r="251" spans="1:13" x14ac:dyDescent="0.3">
      <c r="A251" s="1">
        <v>178757</v>
      </c>
      <c r="B251" s="4">
        <v>41449</v>
      </c>
      <c r="C251">
        <v>405.9</v>
      </c>
      <c r="D251">
        <v>405.9</v>
      </c>
      <c r="E251">
        <v>405.9</v>
      </c>
      <c r="F251">
        <v>405.9</v>
      </c>
      <c r="G251">
        <v>1000</v>
      </c>
      <c r="H251" t="s">
        <v>124</v>
      </c>
      <c r="I251" t="s">
        <v>26</v>
      </c>
      <c r="J251">
        <v>0.85</v>
      </c>
      <c r="K251">
        <v>-0.16309278350515469</v>
      </c>
      <c r="L251">
        <v>-1.3092783505154641E-2</v>
      </c>
      <c r="M251" t="s">
        <v>331</v>
      </c>
    </row>
    <row r="252" spans="1:13" x14ac:dyDescent="0.3">
      <c r="A252" s="1">
        <v>178772</v>
      </c>
      <c r="B252" s="4">
        <v>42342</v>
      </c>
      <c r="C252">
        <v>435.1</v>
      </c>
      <c r="D252">
        <v>435.1</v>
      </c>
      <c r="E252">
        <v>435.1</v>
      </c>
      <c r="F252">
        <v>435.1</v>
      </c>
      <c r="G252">
        <v>22</v>
      </c>
      <c r="H252" t="s">
        <v>124</v>
      </c>
      <c r="I252" t="s">
        <v>26</v>
      </c>
      <c r="J252">
        <v>0.85</v>
      </c>
      <c r="K252">
        <v>-0.36868833430063841</v>
      </c>
      <c r="L252">
        <v>-0.21868833430063839</v>
      </c>
      <c r="M252" t="s">
        <v>331</v>
      </c>
    </row>
    <row r="253" spans="1:13" x14ac:dyDescent="0.3">
      <c r="A253" s="1">
        <v>178982</v>
      </c>
      <c r="B253" s="6">
        <v>44126</v>
      </c>
      <c r="C253" s="7">
        <v>4771.5</v>
      </c>
      <c r="D253" s="7">
        <v>4888</v>
      </c>
      <c r="E253" s="7">
        <v>4596</v>
      </c>
      <c r="F253" s="7">
        <v>4852</v>
      </c>
      <c r="G253" s="7">
        <v>936</v>
      </c>
      <c r="H253" s="7" t="s">
        <v>124</v>
      </c>
      <c r="I253" s="7" t="s">
        <v>26</v>
      </c>
      <c r="J253" s="7">
        <v>0.85</v>
      </c>
      <c r="K253" s="7">
        <v>-0.48942439229716928</v>
      </c>
      <c r="L253" s="7">
        <v>-0.33942439229716931</v>
      </c>
      <c r="M253" s="7" t="s">
        <v>329</v>
      </c>
    </row>
    <row r="254" spans="1:13" x14ac:dyDescent="0.3">
      <c r="A254" s="1">
        <v>179851</v>
      </c>
      <c r="B254" s="4">
        <v>44221</v>
      </c>
      <c r="C254">
        <v>3031</v>
      </c>
      <c r="D254">
        <v>3031</v>
      </c>
      <c r="E254">
        <v>3031</v>
      </c>
      <c r="F254">
        <v>3031</v>
      </c>
      <c r="G254">
        <v>4780</v>
      </c>
      <c r="H254" t="s">
        <v>125</v>
      </c>
      <c r="I254" t="s">
        <v>26</v>
      </c>
      <c r="J254">
        <v>0.85</v>
      </c>
      <c r="K254">
        <v>-0.19602122015915119</v>
      </c>
      <c r="L254">
        <v>-4.6021220159151222E-2</v>
      </c>
    </row>
    <row r="255" spans="1:13" x14ac:dyDescent="0.3">
      <c r="A255" s="1">
        <v>180752</v>
      </c>
      <c r="B255" s="4">
        <v>41806</v>
      </c>
      <c r="C255">
        <v>5.8</v>
      </c>
      <c r="D255">
        <v>5.8</v>
      </c>
      <c r="E255">
        <v>5.01</v>
      </c>
      <c r="F255">
        <v>5.05</v>
      </c>
      <c r="G255">
        <v>2151430</v>
      </c>
      <c r="H255" t="s">
        <v>126</v>
      </c>
      <c r="I255" t="s">
        <v>12</v>
      </c>
      <c r="J255">
        <v>0.8</v>
      </c>
      <c r="K255">
        <v>-0.20472440944881889</v>
      </c>
      <c r="L255">
        <v>-4.7244094488189106E-3</v>
      </c>
    </row>
    <row r="256" spans="1:13" x14ac:dyDescent="0.3">
      <c r="A256" s="1">
        <v>182007</v>
      </c>
      <c r="B256" s="4">
        <v>43689</v>
      </c>
      <c r="C256">
        <v>29</v>
      </c>
      <c r="D256">
        <v>29</v>
      </c>
      <c r="E256">
        <v>20</v>
      </c>
      <c r="F256">
        <v>21.6</v>
      </c>
      <c r="G256">
        <v>976746</v>
      </c>
      <c r="H256" t="s">
        <v>126</v>
      </c>
      <c r="I256" t="s">
        <v>12</v>
      </c>
      <c r="J256">
        <v>0.8</v>
      </c>
      <c r="K256">
        <v>-0.4893617021276595</v>
      </c>
      <c r="L256">
        <v>-0.28936170212765949</v>
      </c>
    </row>
    <row r="257" spans="1:13" x14ac:dyDescent="0.3">
      <c r="A257" s="1">
        <v>183886</v>
      </c>
      <c r="B257" s="4">
        <v>44139</v>
      </c>
      <c r="C257">
        <v>918.5</v>
      </c>
      <c r="D257">
        <v>920.5</v>
      </c>
      <c r="E257">
        <v>914.5</v>
      </c>
      <c r="F257">
        <v>914.5</v>
      </c>
      <c r="G257">
        <v>90</v>
      </c>
      <c r="H257" t="s">
        <v>127</v>
      </c>
      <c r="I257" t="s">
        <v>26</v>
      </c>
      <c r="J257">
        <v>0.85</v>
      </c>
      <c r="K257">
        <v>-0.18348214285714279</v>
      </c>
      <c r="L257">
        <v>-3.3482142857142787E-2</v>
      </c>
    </row>
    <row r="258" spans="1:13" x14ac:dyDescent="0.3">
      <c r="A258" s="1">
        <v>184147</v>
      </c>
      <c r="B258" s="4">
        <v>44624</v>
      </c>
      <c r="C258">
        <v>822</v>
      </c>
      <c r="D258">
        <v>829.5</v>
      </c>
      <c r="E258">
        <v>812</v>
      </c>
      <c r="F258">
        <v>825.5</v>
      </c>
      <c r="G258">
        <v>714</v>
      </c>
      <c r="H258" t="s">
        <v>127</v>
      </c>
      <c r="I258" t="s">
        <v>26</v>
      </c>
      <c r="J258">
        <v>0.85</v>
      </c>
      <c r="K258">
        <v>-0.1546338965693804</v>
      </c>
      <c r="L258">
        <v>-4.6338965693804024E-3</v>
      </c>
    </row>
    <row r="259" spans="1:13" x14ac:dyDescent="0.3">
      <c r="A259" s="1">
        <v>184266</v>
      </c>
      <c r="B259" s="4">
        <v>44854</v>
      </c>
      <c r="C259">
        <v>818.5</v>
      </c>
      <c r="D259">
        <v>839.5</v>
      </c>
      <c r="E259">
        <v>817</v>
      </c>
      <c r="F259">
        <v>824</v>
      </c>
      <c r="G259">
        <v>2973</v>
      </c>
      <c r="H259" t="s">
        <v>127</v>
      </c>
      <c r="I259" t="s">
        <v>26</v>
      </c>
      <c r="J259">
        <v>0.85</v>
      </c>
      <c r="K259">
        <v>-0.15573770491803271</v>
      </c>
      <c r="L259">
        <v>-5.7377049180327164E-3</v>
      </c>
    </row>
    <row r="260" spans="1:13" x14ac:dyDescent="0.3">
      <c r="A260" s="1">
        <v>184651</v>
      </c>
      <c r="B260" s="4">
        <v>43943</v>
      </c>
      <c r="C260">
        <v>725</v>
      </c>
      <c r="D260">
        <v>742</v>
      </c>
      <c r="E260">
        <v>716</v>
      </c>
      <c r="F260">
        <v>741</v>
      </c>
      <c r="G260">
        <v>440</v>
      </c>
      <c r="H260" t="s">
        <v>128</v>
      </c>
      <c r="I260" t="s">
        <v>26</v>
      </c>
      <c r="J260">
        <v>0.85</v>
      </c>
      <c r="K260">
        <v>-0.49762711864406778</v>
      </c>
      <c r="L260">
        <v>-0.34762711864406781</v>
      </c>
      <c r="M260" t="s">
        <v>331</v>
      </c>
    </row>
    <row r="261" spans="1:13" x14ac:dyDescent="0.3">
      <c r="A261" s="1">
        <v>184681</v>
      </c>
      <c r="B261" s="4">
        <v>43993</v>
      </c>
      <c r="C261">
        <v>878</v>
      </c>
      <c r="D261">
        <v>878</v>
      </c>
      <c r="E261">
        <v>737</v>
      </c>
      <c r="F261">
        <v>779</v>
      </c>
      <c r="G261">
        <v>30459</v>
      </c>
      <c r="H261" t="s">
        <v>128</v>
      </c>
      <c r="I261" t="s">
        <v>26</v>
      </c>
      <c r="J261">
        <v>0.85</v>
      </c>
      <c r="K261">
        <v>-0.22871287128712869</v>
      </c>
      <c r="L261">
        <v>-7.8712871287128672E-2</v>
      </c>
    </row>
    <row r="262" spans="1:13" x14ac:dyDescent="0.3">
      <c r="A262" s="1">
        <v>185099</v>
      </c>
      <c r="B262" s="4">
        <v>44630</v>
      </c>
      <c r="C262">
        <v>2500</v>
      </c>
      <c r="D262">
        <v>2500</v>
      </c>
      <c r="E262">
        <v>2110</v>
      </c>
      <c r="F262">
        <v>2160.5</v>
      </c>
      <c r="G262">
        <v>18930</v>
      </c>
      <c r="H262" t="s">
        <v>128</v>
      </c>
      <c r="I262" t="s">
        <v>26</v>
      </c>
      <c r="J262">
        <v>0.85</v>
      </c>
      <c r="K262">
        <v>-0.16486277541553929</v>
      </c>
      <c r="L262">
        <v>-1.4862775415539259E-2</v>
      </c>
    </row>
    <row r="263" spans="1:13" x14ac:dyDescent="0.3">
      <c r="A263" s="1">
        <v>185666</v>
      </c>
      <c r="B263" s="4">
        <v>44322</v>
      </c>
      <c r="C263">
        <v>1735</v>
      </c>
      <c r="D263">
        <v>1735</v>
      </c>
      <c r="E263">
        <v>1530</v>
      </c>
      <c r="F263">
        <v>1563</v>
      </c>
      <c r="G263">
        <v>27080</v>
      </c>
      <c r="H263" t="s">
        <v>129</v>
      </c>
      <c r="I263" t="s">
        <v>26</v>
      </c>
      <c r="J263">
        <v>0.85</v>
      </c>
      <c r="K263">
        <v>-0.15877287405812701</v>
      </c>
      <c r="L263">
        <v>-8.7728740581269893E-3</v>
      </c>
    </row>
    <row r="264" spans="1:13" x14ac:dyDescent="0.3">
      <c r="A264" s="1">
        <v>188122</v>
      </c>
      <c r="B264" s="4">
        <v>42411</v>
      </c>
      <c r="C264">
        <v>18.25</v>
      </c>
      <c r="D264">
        <v>18.25</v>
      </c>
      <c r="E264">
        <v>18.25</v>
      </c>
      <c r="F264">
        <v>18.25</v>
      </c>
      <c r="G264">
        <v>38000</v>
      </c>
      <c r="H264" t="s">
        <v>130</v>
      </c>
      <c r="I264" t="s">
        <v>26</v>
      </c>
      <c r="J264">
        <v>0.85</v>
      </c>
      <c r="K264">
        <v>-0.81262833675564683</v>
      </c>
      <c r="L264">
        <v>-0.66262833675564681</v>
      </c>
      <c r="M264" t="s">
        <v>331</v>
      </c>
    </row>
    <row r="265" spans="1:13" x14ac:dyDescent="0.3">
      <c r="A265" s="1">
        <v>188132</v>
      </c>
      <c r="B265" s="4">
        <v>42872</v>
      </c>
      <c r="C265">
        <v>45.6</v>
      </c>
      <c r="D265">
        <v>45.6</v>
      </c>
      <c r="E265">
        <v>45.6</v>
      </c>
      <c r="F265">
        <v>45.6</v>
      </c>
      <c r="G265">
        <v>18000</v>
      </c>
      <c r="H265" t="s">
        <v>130</v>
      </c>
      <c r="I265" t="s">
        <v>26</v>
      </c>
      <c r="J265">
        <v>0.85</v>
      </c>
      <c r="K265">
        <v>-0.1709090909090909</v>
      </c>
      <c r="L265">
        <v>-2.0909090909090881E-2</v>
      </c>
      <c r="M265" t="s">
        <v>331</v>
      </c>
    </row>
    <row r="266" spans="1:13" x14ac:dyDescent="0.3">
      <c r="A266" s="1">
        <v>188143</v>
      </c>
      <c r="B266" s="4">
        <v>43216</v>
      </c>
      <c r="C266">
        <v>78.8</v>
      </c>
      <c r="D266">
        <v>78.8</v>
      </c>
      <c r="E266">
        <v>78.8</v>
      </c>
      <c r="F266">
        <v>78.8</v>
      </c>
      <c r="G266">
        <v>11272</v>
      </c>
      <c r="H266" t="s">
        <v>130</v>
      </c>
      <c r="I266" t="s">
        <v>26</v>
      </c>
      <c r="J266">
        <v>0.85</v>
      </c>
      <c r="K266">
        <v>-0.15991471215351821</v>
      </c>
      <c r="L266">
        <v>-9.9147121535181348E-3</v>
      </c>
      <c r="M266" t="s">
        <v>331</v>
      </c>
    </row>
    <row r="267" spans="1:13" x14ac:dyDescent="0.3">
      <c r="A267" s="1">
        <v>188155</v>
      </c>
      <c r="B267" s="4">
        <v>43657</v>
      </c>
      <c r="C267">
        <v>117</v>
      </c>
      <c r="D267">
        <v>117</v>
      </c>
      <c r="E267">
        <v>117</v>
      </c>
      <c r="F267">
        <v>117</v>
      </c>
      <c r="G267">
        <v>6056</v>
      </c>
      <c r="H267" t="s">
        <v>130</v>
      </c>
      <c r="I267" t="s">
        <v>26</v>
      </c>
      <c r="J267">
        <v>0.85</v>
      </c>
      <c r="K267">
        <v>-0.19587628865979381</v>
      </c>
      <c r="L267">
        <v>-4.5876288659793762E-2</v>
      </c>
      <c r="M267" t="s">
        <v>331</v>
      </c>
    </row>
    <row r="268" spans="1:13" x14ac:dyDescent="0.3">
      <c r="A268" s="1">
        <v>188167</v>
      </c>
      <c r="B268" s="4">
        <v>43899</v>
      </c>
      <c r="C268">
        <v>750</v>
      </c>
      <c r="D268">
        <v>750</v>
      </c>
      <c r="E268">
        <v>750</v>
      </c>
      <c r="F268">
        <v>750</v>
      </c>
      <c r="G268">
        <v>10</v>
      </c>
      <c r="H268" t="s">
        <v>130</v>
      </c>
      <c r="I268" t="s">
        <v>26</v>
      </c>
      <c r="J268">
        <v>0.85</v>
      </c>
      <c r="K268">
        <v>-0.25742574257425738</v>
      </c>
      <c r="L268">
        <v>-0.1074257425742574</v>
      </c>
    </row>
    <row r="269" spans="1:13" x14ac:dyDescent="0.3">
      <c r="A269" s="1">
        <v>188189</v>
      </c>
      <c r="B269" s="4">
        <v>44068</v>
      </c>
      <c r="C269">
        <v>2000</v>
      </c>
      <c r="D269">
        <v>2000</v>
      </c>
      <c r="E269">
        <v>1910</v>
      </c>
      <c r="F269">
        <v>2000</v>
      </c>
      <c r="G269">
        <v>148</v>
      </c>
      <c r="H269" t="s">
        <v>130</v>
      </c>
      <c r="I269" t="s">
        <v>26</v>
      </c>
      <c r="J269">
        <v>0.85</v>
      </c>
      <c r="K269">
        <v>-0.29115718589402789</v>
      </c>
      <c r="L269">
        <v>-0.1411571858940279</v>
      </c>
    </row>
    <row r="270" spans="1:13" x14ac:dyDescent="0.3">
      <c r="A270" s="1">
        <v>188622</v>
      </c>
      <c r="B270" s="4">
        <v>44735</v>
      </c>
      <c r="C270">
        <v>7136</v>
      </c>
      <c r="D270">
        <v>7173</v>
      </c>
      <c r="E270">
        <v>6850.5</v>
      </c>
      <c r="F270">
        <v>7110</v>
      </c>
      <c r="G270">
        <v>289</v>
      </c>
      <c r="H270" t="s">
        <v>130</v>
      </c>
      <c r="I270" t="s">
        <v>26</v>
      </c>
      <c r="J270">
        <v>0.85</v>
      </c>
      <c r="K270">
        <v>-0.19479048697621751</v>
      </c>
      <c r="L270">
        <v>-4.4790486976217458E-2</v>
      </c>
    </row>
    <row r="271" spans="1:13" x14ac:dyDescent="0.3">
      <c r="A271" s="1">
        <v>188723</v>
      </c>
      <c r="B271" s="6">
        <v>44882</v>
      </c>
      <c r="C271" s="7">
        <v>4003</v>
      </c>
      <c r="D271" s="7">
        <v>4048</v>
      </c>
      <c r="E271" s="7">
        <v>3860</v>
      </c>
      <c r="F271" s="7">
        <v>4048</v>
      </c>
      <c r="G271" s="7">
        <v>183</v>
      </c>
      <c r="H271" s="7" t="s">
        <v>130</v>
      </c>
      <c r="I271" s="7" t="s">
        <v>26</v>
      </c>
      <c r="J271" s="7">
        <v>0.85</v>
      </c>
      <c r="K271" s="7">
        <v>-0.66359178924623952</v>
      </c>
      <c r="L271" s="7">
        <v>-0.51359178924623949</v>
      </c>
      <c r="M271" s="7" t="s">
        <v>329</v>
      </c>
    </row>
    <row r="272" spans="1:13" x14ac:dyDescent="0.3">
      <c r="A272" s="1">
        <v>189167</v>
      </c>
      <c r="B272" s="6">
        <v>44126</v>
      </c>
      <c r="C272" s="7">
        <v>5200</v>
      </c>
      <c r="D272" s="7">
        <v>5263</v>
      </c>
      <c r="E272" s="7">
        <v>4950</v>
      </c>
      <c r="F272" s="7">
        <v>5174.5</v>
      </c>
      <c r="G272" s="7">
        <v>1538</v>
      </c>
      <c r="H272" s="7" t="s">
        <v>131</v>
      </c>
      <c r="I272" s="7" t="s">
        <v>26</v>
      </c>
      <c r="J272" s="7">
        <v>0.85</v>
      </c>
      <c r="K272" s="7">
        <v>-0.79742796742875033</v>
      </c>
      <c r="L272" s="7">
        <v>-0.64742796742875031</v>
      </c>
      <c r="M272" s="7" t="s">
        <v>329</v>
      </c>
    </row>
    <row r="273" spans="1:13" x14ac:dyDescent="0.3">
      <c r="A273" s="1">
        <v>189618</v>
      </c>
      <c r="B273" s="4">
        <v>44820</v>
      </c>
      <c r="C273">
        <v>5520</v>
      </c>
      <c r="D273">
        <v>5520</v>
      </c>
      <c r="E273">
        <v>4710</v>
      </c>
      <c r="F273">
        <v>4859</v>
      </c>
      <c r="G273">
        <v>6504</v>
      </c>
      <c r="H273" t="s">
        <v>131</v>
      </c>
      <c r="I273" t="s">
        <v>26</v>
      </c>
      <c r="J273">
        <v>0.85</v>
      </c>
      <c r="K273">
        <v>-0.19659391534391529</v>
      </c>
      <c r="L273">
        <v>-4.6593915343915333E-2</v>
      </c>
    </row>
    <row r="274" spans="1:13" x14ac:dyDescent="0.3">
      <c r="A274" s="1">
        <v>195111</v>
      </c>
      <c r="B274" s="4">
        <v>43923</v>
      </c>
      <c r="C274">
        <v>2598</v>
      </c>
      <c r="D274">
        <v>2598</v>
      </c>
      <c r="E274">
        <v>2598</v>
      </c>
      <c r="F274">
        <v>2598</v>
      </c>
      <c r="G274">
        <v>6</v>
      </c>
      <c r="H274" t="s">
        <v>132</v>
      </c>
      <c r="I274" t="s">
        <v>26</v>
      </c>
      <c r="J274">
        <v>0.85</v>
      </c>
      <c r="K274">
        <v>-0.25258918296892979</v>
      </c>
      <c r="L274">
        <v>-0.1025891829689298</v>
      </c>
    </row>
    <row r="275" spans="1:13" x14ac:dyDescent="0.3">
      <c r="A275" s="1">
        <v>195378</v>
      </c>
      <c r="B275" s="6">
        <v>44882</v>
      </c>
      <c r="C275" s="7">
        <v>4245</v>
      </c>
      <c r="D275" s="7">
        <v>4437.5</v>
      </c>
      <c r="E275" s="7">
        <v>4245</v>
      </c>
      <c r="F275" s="7">
        <v>4437.5</v>
      </c>
      <c r="G275" s="7">
        <v>101</v>
      </c>
      <c r="H275" s="7" t="s">
        <v>132</v>
      </c>
      <c r="I275" s="7" t="s">
        <v>26</v>
      </c>
      <c r="J275" s="7">
        <v>0.85</v>
      </c>
      <c r="K275" s="7">
        <v>-0.64995661434093233</v>
      </c>
      <c r="L275" s="7">
        <v>-0.4999566143409323</v>
      </c>
      <c r="M275" s="7" t="s">
        <v>329</v>
      </c>
    </row>
    <row r="276" spans="1:13" x14ac:dyDescent="0.3">
      <c r="A276" s="1">
        <v>198009</v>
      </c>
      <c r="B276" s="6">
        <v>45315</v>
      </c>
      <c r="C276" s="7">
        <v>10500</v>
      </c>
      <c r="D276" s="7">
        <v>11186</v>
      </c>
      <c r="E276" s="7">
        <v>10500</v>
      </c>
      <c r="F276" s="7">
        <v>10848.5</v>
      </c>
      <c r="G276" s="7">
        <v>1448</v>
      </c>
      <c r="H276" s="7" t="s">
        <v>133</v>
      </c>
      <c r="I276" s="7" t="s">
        <v>26</v>
      </c>
      <c r="J276" s="7">
        <v>0.85</v>
      </c>
      <c r="K276" s="7">
        <v>-0.83247112236703935</v>
      </c>
      <c r="L276" s="7">
        <v>-0.68247112236703933</v>
      </c>
      <c r="M276" s="7" t="s">
        <v>329</v>
      </c>
    </row>
    <row r="277" spans="1:13" x14ac:dyDescent="0.3">
      <c r="A277" s="1">
        <v>198693</v>
      </c>
      <c r="B277" s="4">
        <v>44343</v>
      </c>
      <c r="C277">
        <v>34</v>
      </c>
      <c r="D277">
        <v>46.3</v>
      </c>
      <c r="E277">
        <v>33.25</v>
      </c>
      <c r="F277">
        <v>44</v>
      </c>
      <c r="G277">
        <v>60705</v>
      </c>
      <c r="H277" t="s">
        <v>134</v>
      </c>
      <c r="I277" t="s">
        <v>39</v>
      </c>
      <c r="J277">
        <v>0.4</v>
      </c>
      <c r="K277">
        <v>-0.8035714285714286</v>
      </c>
      <c r="L277">
        <v>-0.2035714285714286</v>
      </c>
      <c r="M277" s="7" t="s">
        <v>329</v>
      </c>
    </row>
    <row r="278" spans="1:13" x14ac:dyDescent="0.3">
      <c r="A278" s="1">
        <v>205465</v>
      </c>
      <c r="B278" s="4">
        <v>42977</v>
      </c>
      <c r="C278">
        <v>75</v>
      </c>
      <c r="D278">
        <v>94</v>
      </c>
      <c r="E278">
        <v>52.5</v>
      </c>
      <c r="F278">
        <v>63.9</v>
      </c>
      <c r="G278">
        <v>171861</v>
      </c>
      <c r="H278" t="s">
        <v>135</v>
      </c>
      <c r="I278" t="s">
        <v>65</v>
      </c>
      <c r="J278">
        <v>0.4</v>
      </c>
      <c r="K278">
        <v>-0.76507352941176476</v>
      </c>
      <c r="L278">
        <v>-0.16507352941176481</v>
      </c>
      <c r="M278" s="7" t="s">
        <v>329</v>
      </c>
    </row>
    <row r="279" spans="1:13" x14ac:dyDescent="0.3">
      <c r="A279" s="1">
        <v>207682</v>
      </c>
      <c r="B279" s="4">
        <v>45035</v>
      </c>
      <c r="C279">
        <v>11050</v>
      </c>
      <c r="D279">
        <v>11050</v>
      </c>
      <c r="E279">
        <v>9800</v>
      </c>
      <c r="F279">
        <v>9801</v>
      </c>
      <c r="G279">
        <v>182511</v>
      </c>
      <c r="H279" t="s">
        <v>136</v>
      </c>
      <c r="I279" t="s">
        <v>25</v>
      </c>
      <c r="J279">
        <v>0.9</v>
      </c>
      <c r="K279">
        <v>-0.1190112359550561</v>
      </c>
      <c r="L279">
        <v>-1.901123595505616E-2</v>
      </c>
    </row>
    <row r="280" spans="1:13" x14ac:dyDescent="0.3">
      <c r="A280" s="1">
        <v>208570</v>
      </c>
      <c r="B280" s="4">
        <v>45035</v>
      </c>
      <c r="C280">
        <v>11249</v>
      </c>
      <c r="D280">
        <v>11249</v>
      </c>
      <c r="E280">
        <v>9802</v>
      </c>
      <c r="F280">
        <v>9900</v>
      </c>
      <c r="G280">
        <v>380760920</v>
      </c>
      <c r="H280" t="s">
        <v>137</v>
      </c>
      <c r="I280" t="s">
        <v>25</v>
      </c>
      <c r="J280">
        <v>0.9</v>
      </c>
      <c r="K280">
        <v>-0.1207815275310835</v>
      </c>
      <c r="L280">
        <v>-2.0781527531083529E-2</v>
      </c>
    </row>
    <row r="281" spans="1:13" x14ac:dyDescent="0.3">
      <c r="A281" s="1">
        <v>208695</v>
      </c>
      <c r="B281" s="4">
        <v>45222</v>
      </c>
      <c r="C281">
        <v>30199</v>
      </c>
      <c r="D281">
        <v>30350</v>
      </c>
      <c r="E281">
        <v>26700</v>
      </c>
      <c r="F281">
        <v>26800</v>
      </c>
      <c r="G281">
        <v>49220580</v>
      </c>
      <c r="H281" t="s">
        <v>137</v>
      </c>
      <c r="I281" t="s">
        <v>100</v>
      </c>
      <c r="J281">
        <v>0.9</v>
      </c>
      <c r="K281">
        <v>-0.11923228605232029</v>
      </c>
      <c r="L281">
        <v>-1.9232286052320299E-2</v>
      </c>
    </row>
    <row r="282" spans="1:13" x14ac:dyDescent="0.3">
      <c r="A282" s="1">
        <v>209583</v>
      </c>
      <c r="B282" s="4">
        <v>45222</v>
      </c>
      <c r="C282">
        <v>24900</v>
      </c>
      <c r="D282">
        <v>27390</v>
      </c>
      <c r="E282">
        <v>24000</v>
      </c>
      <c r="F282">
        <v>25100</v>
      </c>
      <c r="G282">
        <v>30220961</v>
      </c>
      <c r="H282" t="s">
        <v>138</v>
      </c>
      <c r="I282" t="s">
        <v>100</v>
      </c>
      <c r="J282">
        <v>0.9</v>
      </c>
      <c r="K282">
        <v>-0.1246730601569311</v>
      </c>
      <c r="L282">
        <v>-2.4673060156931159E-2</v>
      </c>
    </row>
    <row r="283" spans="1:13" x14ac:dyDescent="0.3">
      <c r="A283" s="1">
        <v>211358</v>
      </c>
      <c r="B283" s="4">
        <v>45222</v>
      </c>
      <c r="C283">
        <v>29000</v>
      </c>
      <c r="D283">
        <v>30000</v>
      </c>
      <c r="E283">
        <v>26500</v>
      </c>
      <c r="F283">
        <v>27450</v>
      </c>
      <c r="G283">
        <v>792267</v>
      </c>
      <c r="H283" t="s">
        <v>139</v>
      </c>
      <c r="I283" t="s">
        <v>100</v>
      </c>
      <c r="J283">
        <v>0.9</v>
      </c>
      <c r="K283">
        <v>-0.11451612903225809</v>
      </c>
      <c r="L283">
        <v>-1.451612903225807E-2</v>
      </c>
    </row>
    <row r="284" spans="1:13" x14ac:dyDescent="0.3">
      <c r="A284" s="1">
        <v>214438</v>
      </c>
      <c r="B284" s="6">
        <v>44882</v>
      </c>
      <c r="C284" s="7">
        <v>3471.5</v>
      </c>
      <c r="D284" s="7">
        <v>3579.5</v>
      </c>
      <c r="E284" s="7">
        <v>3433.5</v>
      </c>
      <c r="F284" s="7">
        <v>3576.5</v>
      </c>
      <c r="G284" s="7">
        <v>791</v>
      </c>
      <c r="H284" s="7" t="s">
        <v>140</v>
      </c>
      <c r="I284" s="7" t="s">
        <v>25</v>
      </c>
      <c r="J284" s="7">
        <v>0.8</v>
      </c>
      <c r="K284" s="7">
        <v>-0.87008717762440968</v>
      </c>
      <c r="L284" s="7">
        <v>-0.67008717762440972</v>
      </c>
      <c r="M284" s="7" t="s">
        <v>329</v>
      </c>
    </row>
    <row r="285" spans="1:13" x14ac:dyDescent="0.3">
      <c r="A285" s="1">
        <v>214767</v>
      </c>
      <c r="B285" s="4">
        <v>45385</v>
      </c>
      <c r="C285">
        <v>19500</v>
      </c>
      <c r="D285">
        <v>19842</v>
      </c>
      <c r="E285">
        <v>19209.5</v>
      </c>
      <c r="F285">
        <v>19539.5</v>
      </c>
      <c r="G285">
        <v>12745</v>
      </c>
      <c r="H285" t="s">
        <v>140</v>
      </c>
      <c r="I285" t="s">
        <v>23</v>
      </c>
      <c r="J285">
        <v>0.85</v>
      </c>
      <c r="K285">
        <v>-0.1980504822491278</v>
      </c>
      <c r="L285">
        <v>-4.8050482249127779E-2</v>
      </c>
    </row>
    <row r="286" spans="1:13" x14ac:dyDescent="0.3">
      <c r="A286" s="1">
        <v>214803</v>
      </c>
      <c r="B286" s="4">
        <v>41624</v>
      </c>
      <c r="C286">
        <v>30.5</v>
      </c>
      <c r="D286">
        <v>30.5</v>
      </c>
      <c r="E286">
        <v>30.5</v>
      </c>
      <c r="F286">
        <v>30.5</v>
      </c>
      <c r="G286">
        <v>9964</v>
      </c>
      <c r="H286" t="s">
        <v>141</v>
      </c>
      <c r="I286" t="s">
        <v>26</v>
      </c>
      <c r="J286">
        <v>0.85</v>
      </c>
      <c r="K286">
        <v>-0.66446644664466448</v>
      </c>
      <c r="L286">
        <v>-0.51446644664466445</v>
      </c>
      <c r="M286" t="s">
        <v>331</v>
      </c>
    </row>
    <row r="287" spans="1:13" x14ac:dyDescent="0.3">
      <c r="A287" s="1">
        <v>214805</v>
      </c>
      <c r="B287" s="4">
        <v>42326</v>
      </c>
      <c r="C287">
        <v>31.25</v>
      </c>
      <c r="D287">
        <v>31.25</v>
      </c>
      <c r="E287">
        <v>31.25</v>
      </c>
      <c r="F287">
        <v>31.25</v>
      </c>
      <c r="G287">
        <v>610</v>
      </c>
      <c r="H287" t="s">
        <v>141</v>
      </c>
      <c r="I287" t="s">
        <v>26</v>
      </c>
      <c r="J287">
        <v>0.85</v>
      </c>
      <c r="K287">
        <v>-0.36354378818737282</v>
      </c>
      <c r="L287">
        <v>-0.21354378818737271</v>
      </c>
      <c r="M287" t="s">
        <v>331</v>
      </c>
    </row>
    <row r="288" spans="1:13" x14ac:dyDescent="0.3">
      <c r="A288" s="1">
        <v>214830</v>
      </c>
      <c r="B288" s="4">
        <v>44245</v>
      </c>
      <c r="C288">
        <v>1246</v>
      </c>
      <c r="D288">
        <v>1266</v>
      </c>
      <c r="E288">
        <v>1246</v>
      </c>
      <c r="F288">
        <v>1246.5</v>
      </c>
      <c r="G288">
        <v>65</v>
      </c>
      <c r="H288" t="s">
        <v>141</v>
      </c>
      <c r="I288" t="s">
        <v>26</v>
      </c>
      <c r="J288">
        <v>0.85</v>
      </c>
      <c r="K288">
        <v>-0.15720081135902639</v>
      </c>
      <c r="L288">
        <v>-7.2008113590263934E-3</v>
      </c>
    </row>
    <row r="289" spans="1:13" x14ac:dyDescent="0.3">
      <c r="A289" s="1">
        <v>215085</v>
      </c>
      <c r="B289" s="4">
        <v>44713</v>
      </c>
      <c r="C289">
        <v>2043</v>
      </c>
      <c r="D289">
        <v>2095</v>
      </c>
      <c r="E289">
        <v>2010</v>
      </c>
      <c r="F289">
        <v>2043.5</v>
      </c>
      <c r="G289">
        <v>1867</v>
      </c>
      <c r="H289" t="s">
        <v>141</v>
      </c>
      <c r="I289" t="s">
        <v>26</v>
      </c>
      <c r="J289">
        <v>0.85</v>
      </c>
      <c r="K289">
        <v>-0.21069911162611041</v>
      </c>
      <c r="L289">
        <v>-6.0699111626110407E-2</v>
      </c>
    </row>
    <row r="290" spans="1:13" x14ac:dyDescent="0.3">
      <c r="A290" s="1">
        <v>215565</v>
      </c>
      <c r="B290" s="4">
        <v>41624</v>
      </c>
      <c r="C290">
        <v>182.55</v>
      </c>
      <c r="D290">
        <v>182.55</v>
      </c>
      <c r="E290">
        <v>181.9</v>
      </c>
      <c r="F290">
        <v>181.9</v>
      </c>
      <c r="G290">
        <v>2000</v>
      </c>
      <c r="H290" t="s">
        <v>142</v>
      </c>
      <c r="I290" t="s">
        <v>26</v>
      </c>
      <c r="J290">
        <v>0.85</v>
      </c>
      <c r="K290">
        <v>-0.2128948507139766</v>
      </c>
      <c r="L290">
        <v>-6.2894850713976602E-2</v>
      </c>
      <c r="M290" t="s">
        <v>332</v>
      </c>
    </row>
    <row r="291" spans="1:13" x14ac:dyDescent="0.3">
      <c r="A291" s="1">
        <v>215579</v>
      </c>
      <c r="B291" s="4">
        <v>42264</v>
      </c>
      <c r="C291">
        <v>187.5</v>
      </c>
      <c r="D291">
        <v>187.5</v>
      </c>
      <c r="E291">
        <v>187.5</v>
      </c>
      <c r="F291">
        <v>187.5</v>
      </c>
      <c r="G291">
        <v>87</v>
      </c>
      <c r="H291" t="s">
        <v>142</v>
      </c>
      <c r="I291" t="s">
        <v>26</v>
      </c>
      <c r="J291">
        <v>0.85</v>
      </c>
      <c r="K291">
        <v>-0.35277873662409392</v>
      </c>
      <c r="L291">
        <v>-0.20277873662409379</v>
      </c>
      <c r="M291" t="s">
        <v>332</v>
      </c>
    </row>
    <row r="292" spans="1:13" x14ac:dyDescent="0.3">
      <c r="A292" s="1">
        <v>215591</v>
      </c>
      <c r="B292" s="4">
        <v>42650</v>
      </c>
      <c r="C292">
        <v>214.1</v>
      </c>
      <c r="D292">
        <v>214.1</v>
      </c>
      <c r="E292">
        <v>214.1</v>
      </c>
      <c r="F292">
        <v>214.1</v>
      </c>
      <c r="G292">
        <v>3500</v>
      </c>
      <c r="H292" t="s">
        <v>142</v>
      </c>
      <c r="I292" t="s">
        <v>26</v>
      </c>
      <c r="J292">
        <v>0.85</v>
      </c>
      <c r="K292">
        <v>-0.1920754716981132</v>
      </c>
      <c r="L292">
        <v>-4.2075471698113209E-2</v>
      </c>
      <c r="M292" t="s">
        <v>332</v>
      </c>
    </row>
    <row r="293" spans="1:13" x14ac:dyDescent="0.3">
      <c r="A293" s="1">
        <v>215595</v>
      </c>
      <c r="B293" s="4">
        <v>42719</v>
      </c>
      <c r="C293">
        <v>196.2</v>
      </c>
      <c r="D293">
        <v>196.2</v>
      </c>
      <c r="E293">
        <v>196.2</v>
      </c>
      <c r="F293">
        <v>196.2</v>
      </c>
      <c r="G293">
        <v>2200</v>
      </c>
      <c r="H293" t="s">
        <v>142</v>
      </c>
      <c r="I293" t="s">
        <v>26</v>
      </c>
      <c r="J293">
        <v>0.85</v>
      </c>
      <c r="K293">
        <v>-0.17563025210084041</v>
      </c>
      <c r="L293">
        <v>-2.563025210084036E-2</v>
      </c>
      <c r="M293" t="s">
        <v>332</v>
      </c>
    </row>
    <row r="294" spans="1:13" x14ac:dyDescent="0.3">
      <c r="A294" s="1">
        <v>217209</v>
      </c>
      <c r="B294" s="4">
        <v>43689</v>
      </c>
      <c r="C294">
        <v>105.2</v>
      </c>
      <c r="D294">
        <v>114.95</v>
      </c>
      <c r="E294">
        <v>91</v>
      </c>
      <c r="F294">
        <v>92.4</v>
      </c>
      <c r="G294">
        <v>13951867</v>
      </c>
      <c r="H294" t="s">
        <v>143</v>
      </c>
      <c r="I294" t="s">
        <v>12</v>
      </c>
      <c r="J294">
        <v>0.8</v>
      </c>
      <c r="K294">
        <v>-0.47063878544829563</v>
      </c>
      <c r="L294">
        <v>-0.27063878544829573</v>
      </c>
    </row>
    <row r="295" spans="1:13" x14ac:dyDescent="0.3">
      <c r="A295" s="1">
        <v>218495</v>
      </c>
      <c r="B295" s="4">
        <v>43899</v>
      </c>
      <c r="C295">
        <v>1050</v>
      </c>
      <c r="D295">
        <v>1050</v>
      </c>
      <c r="E295">
        <v>1050</v>
      </c>
      <c r="F295">
        <v>1050</v>
      </c>
      <c r="G295">
        <v>10</v>
      </c>
      <c r="H295" t="s">
        <v>144</v>
      </c>
      <c r="I295" t="s">
        <v>26</v>
      </c>
      <c r="J295">
        <v>0.85</v>
      </c>
      <c r="K295">
        <v>-0.1901272657153876</v>
      </c>
      <c r="L295">
        <v>-4.0127265715387612E-2</v>
      </c>
    </row>
    <row r="296" spans="1:13" x14ac:dyDescent="0.3">
      <c r="A296" s="1">
        <v>218497</v>
      </c>
      <c r="B296" s="4">
        <v>43903</v>
      </c>
      <c r="C296">
        <v>838.5</v>
      </c>
      <c r="D296">
        <v>876.5</v>
      </c>
      <c r="E296">
        <v>838.5</v>
      </c>
      <c r="F296">
        <v>873</v>
      </c>
      <c r="G296">
        <v>1081</v>
      </c>
      <c r="H296" t="s">
        <v>144</v>
      </c>
      <c r="I296" t="s">
        <v>26</v>
      </c>
      <c r="J296">
        <v>0.85</v>
      </c>
      <c r="K296">
        <v>-0.16857142857142859</v>
      </c>
      <c r="L296">
        <v>-1.8571428571428569E-2</v>
      </c>
    </row>
    <row r="297" spans="1:13" x14ac:dyDescent="0.3">
      <c r="A297" s="1">
        <v>218542</v>
      </c>
      <c r="B297" s="4">
        <v>43993</v>
      </c>
      <c r="C297">
        <v>1230</v>
      </c>
      <c r="D297">
        <v>1230</v>
      </c>
      <c r="E297">
        <v>1200</v>
      </c>
      <c r="F297">
        <v>1215</v>
      </c>
      <c r="G297">
        <v>364</v>
      </c>
      <c r="H297" t="s">
        <v>144</v>
      </c>
      <c r="I297" t="s">
        <v>26</v>
      </c>
      <c r="J297">
        <v>0.85</v>
      </c>
      <c r="K297">
        <v>-0.16979842842500861</v>
      </c>
      <c r="L297">
        <v>-1.9798428425008559E-2</v>
      </c>
    </row>
    <row r="298" spans="1:13" x14ac:dyDescent="0.3">
      <c r="A298" s="1">
        <v>219459</v>
      </c>
      <c r="B298" s="4">
        <v>45400</v>
      </c>
      <c r="C298">
        <v>15294.5</v>
      </c>
      <c r="D298">
        <v>15677</v>
      </c>
      <c r="E298">
        <v>15095</v>
      </c>
      <c r="F298">
        <v>15280</v>
      </c>
      <c r="G298">
        <v>863</v>
      </c>
      <c r="H298" t="s">
        <v>144</v>
      </c>
      <c r="I298" t="s">
        <v>23</v>
      </c>
      <c r="J298">
        <v>0.85</v>
      </c>
      <c r="K298">
        <v>-0.1614301786351289</v>
      </c>
      <c r="L298">
        <v>-1.143017863512885E-2</v>
      </c>
      <c r="M298" t="s">
        <v>329</v>
      </c>
    </row>
    <row r="299" spans="1:13" x14ac:dyDescent="0.3">
      <c r="A299" s="1">
        <v>220375</v>
      </c>
      <c r="B299" s="4">
        <v>45205</v>
      </c>
      <c r="C299">
        <v>19350</v>
      </c>
      <c r="D299">
        <v>23000</v>
      </c>
      <c r="E299">
        <v>16079.5</v>
      </c>
      <c r="F299">
        <v>16216.5</v>
      </c>
      <c r="G299">
        <v>522</v>
      </c>
      <c r="H299" t="s">
        <v>145</v>
      </c>
      <c r="I299" t="s">
        <v>26</v>
      </c>
      <c r="J299">
        <v>0.85</v>
      </c>
      <c r="K299">
        <v>-0.1509685863874346</v>
      </c>
      <c r="L299">
        <v>-9.6858638743457792E-4</v>
      </c>
    </row>
    <row r="300" spans="1:13" x14ac:dyDescent="0.3">
      <c r="A300" s="1">
        <v>220406</v>
      </c>
      <c r="B300" s="4">
        <v>45257</v>
      </c>
      <c r="C300">
        <v>18001</v>
      </c>
      <c r="D300">
        <v>18850</v>
      </c>
      <c r="E300">
        <v>15461</v>
      </c>
      <c r="F300">
        <v>16200</v>
      </c>
      <c r="G300">
        <v>666</v>
      </c>
      <c r="H300" t="s">
        <v>145</v>
      </c>
      <c r="I300" t="s">
        <v>26</v>
      </c>
      <c r="J300">
        <v>0.85</v>
      </c>
      <c r="K300">
        <v>-0.16471164505401009</v>
      </c>
      <c r="L300">
        <v>-1.471164505401013E-2</v>
      </c>
    </row>
    <row r="301" spans="1:13" x14ac:dyDescent="0.3">
      <c r="A301" s="1">
        <v>220893</v>
      </c>
      <c r="B301" s="6">
        <v>44126</v>
      </c>
      <c r="C301" s="7">
        <v>5737</v>
      </c>
      <c r="D301" s="7">
        <v>6080</v>
      </c>
      <c r="E301" s="7">
        <v>5621.5</v>
      </c>
      <c r="F301" s="7">
        <v>6014</v>
      </c>
      <c r="G301" s="7">
        <v>5346</v>
      </c>
      <c r="H301" s="7" t="s">
        <v>146</v>
      </c>
      <c r="I301" s="7" t="s">
        <v>25</v>
      </c>
      <c r="J301" s="7">
        <v>0.8</v>
      </c>
      <c r="K301" s="7">
        <v>-0.65053169852983905</v>
      </c>
      <c r="L301" s="7">
        <v>-0.4505316985298391</v>
      </c>
      <c r="M301" s="7" t="s">
        <v>329</v>
      </c>
    </row>
    <row r="302" spans="1:13" x14ac:dyDescent="0.3">
      <c r="A302" s="1">
        <v>221385</v>
      </c>
      <c r="B302" s="6">
        <v>44882</v>
      </c>
      <c r="C302" s="7">
        <v>3488</v>
      </c>
      <c r="D302" s="7">
        <v>3505</v>
      </c>
      <c r="E302" s="7">
        <v>3302</v>
      </c>
      <c r="F302" s="7">
        <v>3373</v>
      </c>
      <c r="G302" s="7">
        <v>11015</v>
      </c>
      <c r="H302" s="7" t="s">
        <v>147</v>
      </c>
      <c r="I302" s="7" t="s">
        <v>26</v>
      </c>
      <c r="J302" s="7">
        <v>0.85</v>
      </c>
      <c r="K302" s="7">
        <v>-0.66688064786924106</v>
      </c>
      <c r="L302" s="7">
        <v>-0.51688064786924104</v>
      </c>
      <c r="M302" s="7" t="s">
        <v>329</v>
      </c>
    </row>
    <row r="303" spans="1:13" x14ac:dyDescent="0.3">
      <c r="A303" s="1">
        <v>221851</v>
      </c>
      <c r="B303" s="4">
        <v>44634</v>
      </c>
      <c r="C303">
        <v>1747.5</v>
      </c>
      <c r="D303">
        <v>1747.5</v>
      </c>
      <c r="E303">
        <v>1697</v>
      </c>
      <c r="F303">
        <v>1697</v>
      </c>
      <c r="G303">
        <v>10</v>
      </c>
      <c r="H303" t="s">
        <v>148</v>
      </c>
      <c r="I303" t="s">
        <v>26</v>
      </c>
      <c r="J303">
        <v>0.85</v>
      </c>
      <c r="K303">
        <v>-0.16976516634050881</v>
      </c>
      <c r="L303">
        <v>-1.976516634050873E-2</v>
      </c>
    </row>
    <row r="304" spans="1:13" x14ac:dyDescent="0.3">
      <c r="A304" s="1">
        <v>223838</v>
      </c>
      <c r="B304" s="4">
        <v>43517</v>
      </c>
      <c r="C304">
        <v>545</v>
      </c>
      <c r="D304">
        <v>545</v>
      </c>
      <c r="E304">
        <v>530</v>
      </c>
      <c r="F304">
        <v>530</v>
      </c>
      <c r="G304">
        <v>16656</v>
      </c>
      <c r="H304" t="s">
        <v>149</v>
      </c>
      <c r="I304" t="s">
        <v>25</v>
      </c>
      <c r="J304">
        <v>0.8</v>
      </c>
      <c r="K304">
        <v>-0.22058823529411761</v>
      </c>
      <c r="L304">
        <v>-2.0588235294117681E-2</v>
      </c>
      <c r="M304" t="s">
        <v>331</v>
      </c>
    </row>
    <row r="305" spans="1:13" x14ac:dyDescent="0.3">
      <c r="A305" s="1">
        <v>225016</v>
      </c>
      <c r="B305" s="6">
        <v>45315</v>
      </c>
      <c r="C305" s="7">
        <v>10485.5</v>
      </c>
      <c r="D305" s="7">
        <v>10849.5</v>
      </c>
      <c r="E305" s="7">
        <v>10079</v>
      </c>
      <c r="F305" s="7">
        <v>10185</v>
      </c>
      <c r="G305" s="7">
        <v>24223</v>
      </c>
      <c r="H305" s="7" t="s">
        <v>149</v>
      </c>
      <c r="I305" s="7" t="s">
        <v>26</v>
      </c>
      <c r="J305" s="7">
        <v>0.85</v>
      </c>
      <c r="K305" s="7">
        <v>-0.50548650223344338</v>
      </c>
      <c r="L305" s="7">
        <v>-0.35548650223344341</v>
      </c>
      <c r="M305" s="7" t="s">
        <v>329</v>
      </c>
    </row>
    <row r="306" spans="1:13" x14ac:dyDescent="0.3">
      <c r="A306" s="1">
        <v>225354</v>
      </c>
      <c r="B306" s="4">
        <v>41752</v>
      </c>
      <c r="C306">
        <v>180.5</v>
      </c>
      <c r="D306">
        <v>180.5</v>
      </c>
      <c r="E306">
        <v>180.5</v>
      </c>
      <c r="F306">
        <v>180.5</v>
      </c>
      <c r="G306">
        <v>174</v>
      </c>
      <c r="H306" t="s">
        <v>150</v>
      </c>
      <c r="I306" t="s">
        <v>25</v>
      </c>
      <c r="J306">
        <v>0.8</v>
      </c>
      <c r="K306">
        <v>-0.52994791666666674</v>
      </c>
      <c r="L306">
        <v>-0.32994791666666679</v>
      </c>
      <c r="M306" s="7" t="s">
        <v>329</v>
      </c>
    </row>
    <row r="307" spans="1:13" x14ac:dyDescent="0.3">
      <c r="A307" s="1">
        <v>226614</v>
      </c>
      <c r="B307" s="6">
        <v>44126</v>
      </c>
      <c r="C307" s="7">
        <v>4691</v>
      </c>
      <c r="D307" s="7">
        <v>5300</v>
      </c>
      <c r="E307" s="7">
        <v>4691</v>
      </c>
      <c r="F307" s="7">
        <v>5174</v>
      </c>
      <c r="G307" s="7">
        <v>19040</v>
      </c>
      <c r="H307" s="7" t="s">
        <v>150</v>
      </c>
      <c r="I307" s="7" t="s">
        <v>25</v>
      </c>
      <c r="J307" s="7">
        <v>0.8</v>
      </c>
      <c r="K307" s="7">
        <v>-0.47853255392058058</v>
      </c>
      <c r="L307" s="7">
        <v>-0.27853255392058057</v>
      </c>
      <c r="M307" s="7" t="s">
        <v>329</v>
      </c>
    </row>
    <row r="308" spans="1:13" x14ac:dyDescent="0.3">
      <c r="A308" s="1">
        <v>227023</v>
      </c>
      <c r="B308" s="4">
        <v>44760</v>
      </c>
      <c r="C308">
        <v>592</v>
      </c>
      <c r="D308">
        <v>593.5</v>
      </c>
      <c r="E308">
        <v>569</v>
      </c>
      <c r="F308">
        <v>572.5</v>
      </c>
      <c r="G308">
        <v>228503</v>
      </c>
      <c r="H308" t="s">
        <v>150</v>
      </c>
      <c r="I308" t="s">
        <v>25</v>
      </c>
      <c r="J308">
        <v>0.8</v>
      </c>
      <c r="K308">
        <v>-0.95044791621586533</v>
      </c>
      <c r="L308">
        <v>-0.75044791621586537</v>
      </c>
      <c r="M308" s="7" t="s">
        <v>329</v>
      </c>
    </row>
    <row r="309" spans="1:13" x14ac:dyDescent="0.3">
      <c r="A309" s="1">
        <v>232292</v>
      </c>
      <c r="B309" s="4">
        <v>44735</v>
      </c>
      <c r="C309">
        <v>3700</v>
      </c>
      <c r="D309">
        <v>3700</v>
      </c>
      <c r="E309">
        <v>3533.5</v>
      </c>
      <c r="F309">
        <v>3566.5</v>
      </c>
      <c r="G309">
        <v>2421</v>
      </c>
      <c r="H309" t="s">
        <v>151</v>
      </c>
      <c r="I309" t="s">
        <v>26</v>
      </c>
      <c r="J309">
        <v>0.85</v>
      </c>
      <c r="K309">
        <v>-0.18647354014598541</v>
      </c>
      <c r="L309">
        <v>-3.6473540145985361E-2</v>
      </c>
      <c r="M309" s="7" t="s">
        <v>331</v>
      </c>
    </row>
    <row r="310" spans="1:13" x14ac:dyDescent="0.3">
      <c r="A310" s="1">
        <v>237450</v>
      </c>
      <c r="B310" s="4">
        <v>43395</v>
      </c>
      <c r="C310">
        <v>1638</v>
      </c>
      <c r="D310">
        <v>1638</v>
      </c>
      <c r="E310">
        <v>1615</v>
      </c>
      <c r="F310">
        <v>1615.25</v>
      </c>
      <c r="G310">
        <v>352</v>
      </c>
      <c r="H310" t="s">
        <v>152</v>
      </c>
      <c r="I310" t="s">
        <v>26</v>
      </c>
      <c r="J310">
        <v>0.85</v>
      </c>
      <c r="K310">
        <v>-0.16308290155440419</v>
      </c>
      <c r="L310">
        <v>-1.3082901554404169E-2</v>
      </c>
      <c r="M310" s="7" t="s">
        <v>331</v>
      </c>
    </row>
    <row r="311" spans="1:13" x14ac:dyDescent="0.3">
      <c r="A311" s="1">
        <v>237614</v>
      </c>
      <c r="B311" s="6">
        <v>44126</v>
      </c>
      <c r="C311" s="7">
        <v>6484.5</v>
      </c>
      <c r="D311" s="7">
        <v>6694</v>
      </c>
      <c r="E311" s="7">
        <v>6382.5</v>
      </c>
      <c r="F311" s="7">
        <v>6680.5</v>
      </c>
      <c r="G311" s="7">
        <v>682</v>
      </c>
      <c r="H311" s="7" t="s">
        <v>152</v>
      </c>
      <c r="I311" s="7" t="s">
        <v>26</v>
      </c>
      <c r="J311" s="7">
        <v>0.85</v>
      </c>
      <c r="K311" s="7">
        <v>-0.48027851252528397</v>
      </c>
      <c r="L311" s="7">
        <v>-0.33027851252528401</v>
      </c>
      <c r="M311" s="7" t="s">
        <v>329</v>
      </c>
    </row>
    <row r="312" spans="1:13" x14ac:dyDescent="0.3">
      <c r="A312" s="1">
        <v>238107</v>
      </c>
      <c r="B312" s="6">
        <v>44882</v>
      </c>
      <c r="C312" s="7">
        <v>3186</v>
      </c>
      <c r="D312" s="7">
        <v>3260</v>
      </c>
      <c r="E312" s="7">
        <v>3173</v>
      </c>
      <c r="F312" s="7">
        <v>3254</v>
      </c>
      <c r="G312" s="7">
        <v>207</v>
      </c>
      <c r="H312" s="7" t="s">
        <v>152</v>
      </c>
      <c r="I312" s="7" t="s">
        <v>26</v>
      </c>
      <c r="J312" s="7">
        <v>0.85</v>
      </c>
      <c r="K312" s="7">
        <v>-0.74447367387804775</v>
      </c>
      <c r="L312" s="7">
        <v>-0.59447367387804773</v>
      </c>
      <c r="M312" s="7" t="s">
        <v>329</v>
      </c>
    </row>
    <row r="313" spans="1:13" x14ac:dyDescent="0.3">
      <c r="A313" s="1">
        <v>238571</v>
      </c>
      <c r="B313" s="4">
        <v>44263</v>
      </c>
      <c r="C313">
        <v>896</v>
      </c>
      <c r="D313">
        <v>896</v>
      </c>
      <c r="E313">
        <v>870</v>
      </c>
      <c r="F313">
        <v>870.5</v>
      </c>
      <c r="G313">
        <v>1454</v>
      </c>
      <c r="H313" t="s">
        <v>153</v>
      </c>
      <c r="I313" t="s">
        <v>26</v>
      </c>
      <c r="J313">
        <v>0.85</v>
      </c>
      <c r="K313">
        <v>-0.1641862698031685</v>
      </c>
      <c r="L313">
        <v>-1.418626980316851E-2</v>
      </c>
    </row>
    <row r="314" spans="1:13" x14ac:dyDescent="0.3">
      <c r="A314" s="1">
        <v>240221</v>
      </c>
      <c r="B314" s="4">
        <v>41954</v>
      </c>
      <c r="C314">
        <v>22</v>
      </c>
      <c r="D314">
        <v>23</v>
      </c>
      <c r="E314">
        <v>22</v>
      </c>
      <c r="F314">
        <v>23</v>
      </c>
      <c r="G314">
        <v>500</v>
      </c>
      <c r="H314" t="s">
        <v>154</v>
      </c>
      <c r="I314" t="s">
        <v>12</v>
      </c>
      <c r="J314">
        <v>0.7</v>
      </c>
      <c r="K314">
        <v>-0.3783783783783784</v>
      </c>
      <c r="L314">
        <v>-7.8378378378378355E-2</v>
      </c>
      <c r="M314" s="7" t="s">
        <v>331</v>
      </c>
    </row>
    <row r="315" spans="1:13" x14ac:dyDescent="0.3">
      <c r="A315" s="1">
        <v>240224</v>
      </c>
      <c r="B315" s="4">
        <v>42075</v>
      </c>
      <c r="C315">
        <v>23</v>
      </c>
      <c r="D315">
        <v>23</v>
      </c>
      <c r="E315">
        <v>22</v>
      </c>
      <c r="F315">
        <v>22</v>
      </c>
      <c r="G315">
        <v>800</v>
      </c>
      <c r="H315" t="s">
        <v>154</v>
      </c>
      <c r="I315" t="s">
        <v>12</v>
      </c>
      <c r="J315">
        <v>0.7</v>
      </c>
      <c r="K315">
        <v>-0.3529411764705882</v>
      </c>
      <c r="L315">
        <v>-5.2941176470588158E-2</v>
      </c>
      <c r="M315" s="7" t="s">
        <v>331</v>
      </c>
    </row>
    <row r="316" spans="1:13" x14ac:dyDescent="0.3">
      <c r="A316" s="1">
        <v>241385</v>
      </c>
      <c r="B316" s="6">
        <v>44127</v>
      </c>
      <c r="C316" s="7">
        <v>3990</v>
      </c>
      <c r="D316" s="7">
        <v>4091</v>
      </c>
      <c r="E316" s="7">
        <v>3923.5</v>
      </c>
      <c r="F316" s="7">
        <v>3923.5</v>
      </c>
      <c r="G316" s="7">
        <v>20</v>
      </c>
      <c r="H316" s="7" t="s">
        <v>155</v>
      </c>
      <c r="I316" s="7" t="s">
        <v>26</v>
      </c>
      <c r="J316" s="7">
        <v>0.85</v>
      </c>
      <c r="K316" s="7">
        <v>-0.4879274340903158</v>
      </c>
      <c r="L316" s="7">
        <v>-0.33792743409031578</v>
      </c>
      <c r="M316" s="7" t="s">
        <v>329</v>
      </c>
    </row>
    <row r="317" spans="1:13" x14ac:dyDescent="0.3">
      <c r="A317" s="1">
        <v>242217</v>
      </c>
      <c r="B317" s="4">
        <v>41513</v>
      </c>
      <c r="C317">
        <v>38</v>
      </c>
      <c r="D317">
        <v>38</v>
      </c>
      <c r="E317">
        <v>38</v>
      </c>
      <c r="F317">
        <v>38</v>
      </c>
      <c r="G317">
        <v>1000</v>
      </c>
      <c r="H317" t="s">
        <v>156</v>
      </c>
      <c r="I317" t="s">
        <v>23</v>
      </c>
      <c r="J317">
        <v>0.85</v>
      </c>
      <c r="K317">
        <v>-0.16022099447513821</v>
      </c>
      <c r="L317">
        <v>-1.0220994475138131E-2</v>
      </c>
      <c r="M317" s="7" t="s">
        <v>331</v>
      </c>
    </row>
    <row r="318" spans="1:13" x14ac:dyDescent="0.3">
      <c r="A318" s="1">
        <v>242227</v>
      </c>
      <c r="B318" s="4">
        <v>42080</v>
      </c>
      <c r="C318">
        <v>78.2</v>
      </c>
      <c r="D318">
        <v>78.2</v>
      </c>
      <c r="E318">
        <v>78.2</v>
      </c>
      <c r="F318">
        <v>78.2</v>
      </c>
      <c r="G318">
        <v>100</v>
      </c>
      <c r="H318" t="s">
        <v>156</v>
      </c>
      <c r="I318" t="s">
        <v>23</v>
      </c>
      <c r="J318">
        <v>0.85</v>
      </c>
      <c r="K318">
        <v>-0.27458256029684591</v>
      </c>
      <c r="L318">
        <v>-0.1245825602968459</v>
      </c>
      <c r="M318" s="7" t="s">
        <v>331</v>
      </c>
    </row>
    <row r="319" spans="1:13" x14ac:dyDescent="0.3">
      <c r="A319" s="1">
        <v>242279</v>
      </c>
      <c r="B319" s="4">
        <v>43909</v>
      </c>
      <c r="C319">
        <v>1197.5</v>
      </c>
      <c r="D319">
        <v>1197.5</v>
      </c>
      <c r="E319">
        <v>1197.5</v>
      </c>
      <c r="F319">
        <v>1197.5</v>
      </c>
      <c r="G319">
        <v>2</v>
      </c>
      <c r="H319" t="s">
        <v>156</v>
      </c>
      <c r="I319" t="s">
        <v>23</v>
      </c>
      <c r="J319">
        <v>0.85</v>
      </c>
      <c r="K319">
        <v>-0.26262315270935971</v>
      </c>
      <c r="L319">
        <v>-0.1126231527093596</v>
      </c>
    </row>
    <row r="320" spans="1:13" x14ac:dyDescent="0.3">
      <c r="A320" s="1">
        <v>243454</v>
      </c>
      <c r="B320" s="6">
        <v>44882</v>
      </c>
      <c r="C320" s="7">
        <v>3508</v>
      </c>
      <c r="D320" s="7">
        <v>3557</v>
      </c>
      <c r="E320" s="7">
        <v>3498</v>
      </c>
      <c r="F320" s="7">
        <v>3536.5</v>
      </c>
      <c r="G320" s="7">
        <v>162</v>
      </c>
      <c r="H320" s="7" t="s">
        <v>157</v>
      </c>
      <c r="I320" s="7" t="s">
        <v>26</v>
      </c>
      <c r="J320" s="7">
        <v>0.85</v>
      </c>
      <c r="K320" s="7">
        <v>-0.8541438970573072</v>
      </c>
      <c r="L320" s="7">
        <v>-0.70414389705730718</v>
      </c>
      <c r="M320" s="7" t="s">
        <v>329</v>
      </c>
    </row>
    <row r="321" spans="1:13" x14ac:dyDescent="0.3">
      <c r="A321" s="1">
        <v>243935</v>
      </c>
      <c r="B321" s="4">
        <v>44944</v>
      </c>
      <c r="C321">
        <v>3250</v>
      </c>
      <c r="D321">
        <v>3400</v>
      </c>
      <c r="E321">
        <v>2600</v>
      </c>
      <c r="F321">
        <v>2632</v>
      </c>
      <c r="G321">
        <v>6653</v>
      </c>
      <c r="H321" t="s">
        <v>158</v>
      </c>
      <c r="I321" t="s">
        <v>26</v>
      </c>
      <c r="J321">
        <v>0.85</v>
      </c>
      <c r="K321">
        <v>-0.19102504994621169</v>
      </c>
      <c r="L321">
        <v>-4.10250499462117E-2</v>
      </c>
    </row>
    <row r="322" spans="1:13" x14ac:dyDescent="0.3">
      <c r="A322" s="1">
        <v>244173</v>
      </c>
      <c r="B322" s="4">
        <v>45309</v>
      </c>
      <c r="C322">
        <v>60000</v>
      </c>
      <c r="D322">
        <v>62076.5</v>
      </c>
      <c r="E322">
        <v>44043.5</v>
      </c>
      <c r="F322">
        <v>44688</v>
      </c>
      <c r="G322">
        <v>14788</v>
      </c>
      <c r="H322" t="s">
        <v>158</v>
      </c>
      <c r="I322" t="s">
        <v>26</v>
      </c>
      <c r="J322">
        <v>0.85</v>
      </c>
      <c r="K322">
        <v>-0.25254028919572152</v>
      </c>
      <c r="L322">
        <v>-0.1025402891957214</v>
      </c>
    </row>
    <row r="323" spans="1:13" x14ac:dyDescent="0.3">
      <c r="A323" s="1">
        <v>245220</v>
      </c>
      <c r="B323" s="4">
        <v>43395</v>
      </c>
      <c r="C323">
        <v>470</v>
      </c>
      <c r="D323">
        <v>470</v>
      </c>
      <c r="E323">
        <v>470</v>
      </c>
      <c r="F323">
        <v>470</v>
      </c>
      <c r="G323">
        <v>500</v>
      </c>
      <c r="H323" t="s">
        <v>159</v>
      </c>
      <c r="I323" t="s">
        <v>26</v>
      </c>
      <c r="J323">
        <v>0.85</v>
      </c>
      <c r="K323">
        <v>-0.18965517241379309</v>
      </c>
      <c r="L323">
        <v>-3.9655172413793127E-2</v>
      </c>
    </row>
    <row r="324" spans="1:13" x14ac:dyDescent="0.3">
      <c r="A324" s="1">
        <v>246348</v>
      </c>
      <c r="B324" s="6">
        <v>45315</v>
      </c>
      <c r="C324" s="7">
        <v>15640</v>
      </c>
      <c r="D324" s="7">
        <v>15765</v>
      </c>
      <c r="E324" s="7">
        <v>14774</v>
      </c>
      <c r="F324" s="7">
        <v>15149</v>
      </c>
      <c r="G324" s="7">
        <v>8970</v>
      </c>
      <c r="H324" s="7" t="s">
        <v>159</v>
      </c>
      <c r="I324" s="7" t="s">
        <v>26</v>
      </c>
      <c r="J324" s="7">
        <v>0.85</v>
      </c>
      <c r="K324" s="7">
        <v>-0.661088614957829</v>
      </c>
      <c r="L324" s="7">
        <v>-0.51108861495782898</v>
      </c>
      <c r="M324" s="7" t="s">
        <v>329</v>
      </c>
    </row>
    <row r="325" spans="1:13" x14ac:dyDescent="0.3">
      <c r="A325" s="1">
        <v>246431</v>
      </c>
      <c r="B325" s="4">
        <v>41485</v>
      </c>
      <c r="C325">
        <v>272.45</v>
      </c>
      <c r="D325">
        <v>272.45</v>
      </c>
      <c r="E325">
        <v>272.45</v>
      </c>
      <c r="F325">
        <v>272.45</v>
      </c>
      <c r="G325">
        <v>1000</v>
      </c>
      <c r="H325" t="s">
        <v>160</v>
      </c>
      <c r="I325" t="s">
        <v>26</v>
      </c>
      <c r="J325">
        <v>0.85</v>
      </c>
      <c r="K325">
        <v>-0.26741059424576502</v>
      </c>
      <c r="L325">
        <v>-0.1174105942457649</v>
      </c>
      <c r="M325" t="s">
        <v>331</v>
      </c>
    </row>
    <row r="326" spans="1:13" x14ac:dyDescent="0.3">
      <c r="A326" s="1">
        <v>246436</v>
      </c>
      <c r="B326" s="4">
        <v>42115</v>
      </c>
      <c r="C326">
        <v>123.15</v>
      </c>
      <c r="D326">
        <v>123.15</v>
      </c>
      <c r="E326">
        <v>123.15</v>
      </c>
      <c r="F326">
        <v>123.15</v>
      </c>
      <c r="G326">
        <v>10000</v>
      </c>
      <c r="H326" t="s">
        <v>160</v>
      </c>
      <c r="I326" t="s">
        <v>26</v>
      </c>
      <c r="J326">
        <v>0.85</v>
      </c>
      <c r="K326">
        <v>-0.83216354344122656</v>
      </c>
      <c r="L326">
        <v>-0.68216354344122654</v>
      </c>
      <c r="M326" t="s">
        <v>331</v>
      </c>
    </row>
    <row r="327" spans="1:13" x14ac:dyDescent="0.3">
      <c r="A327" s="1">
        <v>246445</v>
      </c>
      <c r="B327" s="4">
        <v>42401</v>
      </c>
      <c r="C327">
        <v>93</v>
      </c>
      <c r="D327">
        <v>93</v>
      </c>
      <c r="E327">
        <v>93</v>
      </c>
      <c r="F327">
        <v>93</v>
      </c>
      <c r="G327">
        <v>250</v>
      </c>
      <c r="H327" t="s">
        <v>160</v>
      </c>
      <c r="I327" t="s">
        <v>26</v>
      </c>
      <c r="J327">
        <v>0.85</v>
      </c>
      <c r="K327">
        <v>-0.26972909305064768</v>
      </c>
      <c r="L327">
        <v>-0.1197290930506477</v>
      </c>
      <c r="M327" t="s">
        <v>331</v>
      </c>
    </row>
    <row r="328" spans="1:13" x14ac:dyDescent="0.3">
      <c r="A328" s="1">
        <v>246564</v>
      </c>
      <c r="B328" s="4">
        <v>44628</v>
      </c>
      <c r="C328">
        <v>3327.5</v>
      </c>
      <c r="D328">
        <v>3370</v>
      </c>
      <c r="E328">
        <v>3327.5</v>
      </c>
      <c r="F328">
        <v>3370</v>
      </c>
      <c r="G328">
        <v>9</v>
      </c>
      <c r="H328" t="s">
        <v>160</v>
      </c>
      <c r="I328" t="s">
        <v>26</v>
      </c>
      <c r="J328">
        <v>0.85</v>
      </c>
      <c r="K328">
        <v>-0.22599908130454749</v>
      </c>
      <c r="L328">
        <v>-7.5999081304547467E-2</v>
      </c>
      <c r="M328" t="s">
        <v>331</v>
      </c>
    </row>
    <row r="329" spans="1:13" x14ac:dyDescent="0.3">
      <c r="A329" s="1">
        <v>246944</v>
      </c>
      <c r="B329" s="6">
        <v>44882</v>
      </c>
      <c r="C329" s="7">
        <v>2697.5</v>
      </c>
      <c r="D329" s="7">
        <v>2743</v>
      </c>
      <c r="E329" s="7">
        <v>2697.5</v>
      </c>
      <c r="F329" s="7">
        <v>2743</v>
      </c>
      <c r="G329" s="7">
        <v>3</v>
      </c>
      <c r="H329" s="7" t="s">
        <v>161</v>
      </c>
      <c r="I329" s="7" t="s">
        <v>26</v>
      </c>
      <c r="J329" s="7">
        <v>0.85</v>
      </c>
      <c r="K329" s="7">
        <v>-0.82418920651198568</v>
      </c>
      <c r="L329" s="7">
        <v>-0.67418920651198566</v>
      </c>
      <c r="M329" s="7" t="s">
        <v>329</v>
      </c>
    </row>
    <row r="330" spans="1:13" x14ac:dyDescent="0.3">
      <c r="A330" s="1">
        <v>246963</v>
      </c>
      <c r="B330" s="4">
        <v>44966</v>
      </c>
      <c r="C330">
        <v>2929</v>
      </c>
      <c r="D330">
        <v>2929</v>
      </c>
      <c r="E330">
        <v>2785</v>
      </c>
      <c r="F330">
        <v>2827</v>
      </c>
      <c r="G330">
        <v>323</v>
      </c>
      <c r="H330" t="s">
        <v>161</v>
      </c>
      <c r="I330" t="s">
        <v>26</v>
      </c>
      <c r="J330">
        <v>0.85</v>
      </c>
      <c r="K330">
        <v>-0.17939042089985491</v>
      </c>
      <c r="L330">
        <v>-2.9390420899854889E-2</v>
      </c>
    </row>
    <row r="331" spans="1:13" x14ac:dyDescent="0.3">
      <c r="A331" s="1">
        <v>247054</v>
      </c>
      <c r="B331" s="4">
        <v>45146</v>
      </c>
      <c r="C331">
        <v>3762</v>
      </c>
      <c r="D331">
        <v>3762</v>
      </c>
      <c r="E331">
        <v>3200</v>
      </c>
      <c r="F331">
        <v>3249.5</v>
      </c>
      <c r="G331">
        <v>5541</v>
      </c>
      <c r="H331" t="s">
        <v>161</v>
      </c>
      <c r="I331" t="s">
        <v>26</v>
      </c>
      <c r="J331">
        <v>0.85</v>
      </c>
      <c r="K331">
        <v>-0.18721860930465231</v>
      </c>
      <c r="L331">
        <v>-3.7218609304652261E-2</v>
      </c>
    </row>
    <row r="332" spans="1:13" x14ac:dyDescent="0.3">
      <c r="A332" s="1">
        <v>249707</v>
      </c>
      <c r="B332" s="4">
        <v>44623</v>
      </c>
      <c r="C332">
        <v>722.5</v>
      </c>
      <c r="D332">
        <v>741.5</v>
      </c>
      <c r="E332">
        <v>722.5</v>
      </c>
      <c r="F332">
        <v>737.5</v>
      </c>
      <c r="G332">
        <v>921</v>
      </c>
      <c r="H332" t="s">
        <v>162</v>
      </c>
      <c r="I332" t="s">
        <v>26</v>
      </c>
      <c r="J332">
        <v>0.85</v>
      </c>
      <c r="K332">
        <v>-0.20528017241379309</v>
      </c>
      <c r="L332">
        <v>-5.5280172413793127E-2</v>
      </c>
    </row>
    <row r="333" spans="1:13" x14ac:dyDescent="0.3">
      <c r="A333" s="1">
        <v>249709</v>
      </c>
      <c r="B333" s="4">
        <v>44628</v>
      </c>
      <c r="C333">
        <v>582</v>
      </c>
      <c r="D333">
        <v>590</v>
      </c>
      <c r="E333">
        <v>582</v>
      </c>
      <c r="F333">
        <v>590</v>
      </c>
      <c r="G333">
        <v>17</v>
      </c>
      <c r="H333" t="s">
        <v>162</v>
      </c>
      <c r="I333" t="s">
        <v>26</v>
      </c>
      <c r="J333">
        <v>0.85</v>
      </c>
      <c r="K333">
        <v>-0.19178082191780821</v>
      </c>
      <c r="L333">
        <v>-4.1780821917808193E-2</v>
      </c>
    </row>
    <row r="334" spans="1:13" x14ac:dyDescent="0.3">
      <c r="A334" s="1">
        <v>250276</v>
      </c>
      <c r="B334" s="4">
        <v>41927</v>
      </c>
      <c r="C334">
        <v>80.7</v>
      </c>
      <c r="D334">
        <v>80.7</v>
      </c>
      <c r="E334">
        <v>80.7</v>
      </c>
      <c r="F334">
        <v>80.7</v>
      </c>
      <c r="G334">
        <v>3215</v>
      </c>
      <c r="H334" t="s">
        <v>163</v>
      </c>
      <c r="I334" t="s">
        <v>26</v>
      </c>
      <c r="J334">
        <v>0.85</v>
      </c>
      <c r="K334">
        <v>-0.18484848484848479</v>
      </c>
      <c r="L334">
        <v>-3.4848484848484802E-2</v>
      </c>
      <c r="M334" t="s">
        <v>331</v>
      </c>
    </row>
    <row r="335" spans="1:13" x14ac:dyDescent="0.3">
      <c r="A335" s="1">
        <v>250293</v>
      </c>
      <c r="B335" s="4">
        <v>42080</v>
      </c>
      <c r="C335">
        <v>73.849999999999994</v>
      </c>
      <c r="D335">
        <v>73.849999999999994</v>
      </c>
      <c r="E335">
        <v>73.849999999999994</v>
      </c>
      <c r="F335">
        <v>73.849999999999994</v>
      </c>
      <c r="G335">
        <v>250</v>
      </c>
      <c r="H335" t="s">
        <v>163</v>
      </c>
      <c r="I335" t="s">
        <v>26</v>
      </c>
      <c r="J335">
        <v>0.85</v>
      </c>
      <c r="K335">
        <v>-0.1655367231638418</v>
      </c>
      <c r="L335">
        <v>-1.55367231638418E-2</v>
      </c>
      <c r="M335" t="s">
        <v>331</v>
      </c>
    </row>
    <row r="336" spans="1:13" x14ac:dyDescent="0.3">
      <c r="A336" s="1">
        <v>250698</v>
      </c>
      <c r="B336" s="4">
        <v>44036</v>
      </c>
      <c r="C336">
        <v>1357.5</v>
      </c>
      <c r="D336">
        <v>1357.5</v>
      </c>
      <c r="E336">
        <v>1174</v>
      </c>
      <c r="F336">
        <v>1186</v>
      </c>
      <c r="G336">
        <v>137395</v>
      </c>
      <c r="H336" t="s">
        <v>163</v>
      </c>
      <c r="I336" t="s">
        <v>26</v>
      </c>
      <c r="J336">
        <v>0.85</v>
      </c>
      <c r="K336">
        <v>-0.16975848792439621</v>
      </c>
      <c r="L336">
        <v>-1.9758487924396159E-2</v>
      </c>
    </row>
    <row r="337" spans="1:13" x14ac:dyDescent="0.3">
      <c r="A337" s="1">
        <v>251177</v>
      </c>
      <c r="B337" s="4">
        <v>44771</v>
      </c>
      <c r="C337">
        <v>2267</v>
      </c>
      <c r="D337">
        <v>2270</v>
      </c>
      <c r="E337">
        <v>2075</v>
      </c>
      <c r="F337">
        <v>2104.5</v>
      </c>
      <c r="G337">
        <v>30977</v>
      </c>
      <c r="H337" t="s">
        <v>163</v>
      </c>
      <c r="I337" t="s">
        <v>26</v>
      </c>
      <c r="J337">
        <v>0.85</v>
      </c>
      <c r="K337">
        <v>-0.15836832633473311</v>
      </c>
      <c r="L337">
        <v>-8.3683263347330561E-3</v>
      </c>
    </row>
    <row r="338" spans="1:13" x14ac:dyDescent="0.3">
      <c r="A338" s="1">
        <v>255782</v>
      </c>
      <c r="B338" s="4">
        <v>44875</v>
      </c>
      <c r="C338">
        <v>14400</v>
      </c>
      <c r="D338">
        <v>14470</v>
      </c>
      <c r="E338">
        <v>10905</v>
      </c>
      <c r="F338">
        <v>11010</v>
      </c>
      <c r="G338">
        <v>21247</v>
      </c>
      <c r="H338" t="s">
        <v>164</v>
      </c>
      <c r="I338" t="s">
        <v>39</v>
      </c>
      <c r="J338">
        <v>0.65</v>
      </c>
      <c r="K338">
        <v>-0.45763546798029547</v>
      </c>
      <c r="L338">
        <v>-0.10763546798029559</v>
      </c>
      <c r="M338" t="s">
        <v>330</v>
      </c>
    </row>
    <row r="339" spans="1:13" x14ac:dyDescent="0.3">
      <c r="A339" s="1">
        <v>258319</v>
      </c>
      <c r="B339" s="4">
        <v>44398</v>
      </c>
      <c r="C339">
        <v>105</v>
      </c>
      <c r="D339">
        <v>110</v>
      </c>
      <c r="E339">
        <v>102</v>
      </c>
      <c r="F339">
        <v>105</v>
      </c>
      <c r="G339">
        <v>629</v>
      </c>
      <c r="H339" t="s">
        <v>165</v>
      </c>
      <c r="I339" t="s">
        <v>15</v>
      </c>
      <c r="J339">
        <v>0.7</v>
      </c>
      <c r="K339">
        <v>-0.7651006711409396</v>
      </c>
      <c r="L339">
        <v>-0.46510067114093961</v>
      </c>
      <c r="M339" t="s">
        <v>329</v>
      </c>
    </row>
    <row r="340" spans="1:13" x14ac:dyDescent="0.3">
      <c r="A340" s="1">
        <v>261348</v>
      </c>
      <c r="B340" s="4">
        <v>43902</v>
      </c>
      <c r="C340">
        <v>440</v>
      </c>
      <c r="D340">
        <v>440</v>
      </c>
      <c r="E340">
        <v>440</v>
      </c>
      <c r="F340">
        <v>440</v>
      </c>
      <c r="G340">
        <v>300</v>
      </c>
      <c r="H340" t="s">
        <v>166</v>
      </c>
      <c r="I340" t="s">
        <v>26</v>
      </c>
      <c r="J340">
        <v>0.85</v>
      </c>
      <c r="K340">
        <v>-0.21146953405017921</v>
      </c>
      <c r="L340">
        <v>-6.1469534050179193E-2</v>
      </c>
    </row>
    <row r="341" spans="1:13" x14ac:dyDescent="0.3">
      <c r="A341" s="1">
        <v>261721</v>
      </c>
      <c r="B341" s="4">
        <v>44476</v>
      </c>
      <c r="C341">
        <v>870.5</v>
      </c>
      <c r="D341">
        <v>870.5</v>
      </c>
      <c r="E341">
        <v>848.5</v>
      </c>
      <c r="F341">
        <v>855</v>
      </c>
      <c r="G341">
        <v>8937</v>
      </c>
      <c r="H341" t="s">
        <v>166</v>
      </c>
      <c r="I341" t="s">
        <v>26</v>
      </c>
      <c r="J341">
        <v>0.85</v>
      </c>
      <c r="K341">
        <v>-0.150521609538003</v>
      </c>
      <c r="L341">
        <v>-5.2160953800295395E-4</v>
      </c>
    </row>
    <row r="342" spans="1:13" x14ac:dyDescent="0.3">
      <c r="A342" s="1">
        <v>263388</v>
      </c>
      <c r="B342" s="4">
        <v>44630</v>
      </c>
      <c r="C342">
        <v>5500</v>
      </c>
      <c r="D342">
        <v>5500</v>
      </c>
      <c r="E342">
        <v>4930</v>
      </c>
      <c r="F342">
        <v>5000</v>
      </c>
      <c r="G342">
        <v>1012</v>
      </c>
      <c r="H342" t="s">
        <v>167</v>
      </c>
      <c r="I342" t="s">
        <v>26</v>
      </c>
      <c r="J342">
        <v>0.85</v>
      </c>
      <c r="K342">
        <v>-0.17163684559310799</v>
      </c>
      <c r="L342">
        <v>-2.1636845593107971E-2</v>
      </c>
    </row>
    <row r="343" spans="1:13" x14ac:dyDescent="0.3">
      <c r="A343" s="1">
        <v>263836</v>
      </c>
      <c r="B343" s="6">
        <v>45315</v>
      </c>
      <c r="C343" s="7">
        <v>7600</v>
      </c>
      <c r="D343" s="7">
        <v>7734.5</v>
      </c>
      <c r="E343" s="7">
        <v>7482.5</v>
      </c>
      <c r="F343" s="7">
        <v>7705</v>
      </c>
      <c r="G343" s="7">
        <v>15291</v>
      </c>
      <c r="H343" s="7" t="s">
        <v>167</v>
      </c>
      <c r="I343" s="7" t="s">
        <v>26</v>
      </c>
      <c r="J343" s="7">
        <v>0.85</v>
      </c>
      <c r="K343" s="7">
        <v>-0.48540706605222739</v>
      </c>
      <c r="L343" s="7">
        <v>-0.33540706605222742</v>
      </c>
      <c r="M343" s="7" t="s">
        <v>329</v>
      </c>
    </row>
    <row r="344" spans="1:13" x14ac:dyDescent="0.3">
      <c r="A344" s="1">
        <v>265448</v>
      </c>
      <c r="B344" s="6">
        <v>44882</v>
      </c>
      <c r="C344" s="7">
        <v>3870</v>
      </c>
      <c r="D344" s="7">
        <v>3923</v>
      </c>
      <c r="E344" s="7">
        <v>3708</v>
      </c>
      <c r="F344" s="7">
        <v>3914.5</v>
      </c>
      <c r="G344" s="7">
        <v>1597</v>
      </c>
      <c r="H344" s="7" t="s">
        <v>168</v>
      </c>
      <c r="I344" s="7" t="s">
        <v>12</v>
      </c>
      <c r="J344" s="7">
        <v>0.7</v>
      </c>
      <c r="K344" s="7">
        <v>-0.65292370439331471</v>
      </c>
      <c r="L344" s="7">
        <v>-0.35292370439331472</v>
      </c>
      <c r="M344" s="7" t="s">
        <v>329</v>
      </c>
    </row>
    <row r="345" spans="1:13" x14ac:dyDescent="0.3">
      <c r="A345" s="1">
        <v>267252</v>
      </c>
      <c r="B345" s="6">
        <v>45315</v>
      </c>
      <c r="C345" s="7">
        <v>14700.5</v>
      </c>
      <c r="D345" s="7">
        <v>14921</v>
      </c>
      <c r="E345" s="7">
        <v>14359</v>
      </c>
      <c r="F345" s="7">
        <v>14842.5</v>
      </c>
      <c r="G345" s="7">
        <v>2684</v>
      </c>
      <c r="H345" s="7" t="s">
        <v>169</v>
      </c>
      <c r="I345" s="7" t="s">
        <v>26</v>
      </c>
      <c r="J345" s="7">
        <v>0.85</v>
      </c>
      <c r="K345" s="7">
        <v>-0.65932174212428984</v>
      </c>
      <c r="L345" s="7">
        <v>-0.50932174212428982</v>
      </c>
      <c r="M345" s="7" t="s">
        <v>329</v>
      </c>
    </row>
    <row r="346" spans="1:13" x14ac:dyDescent="0.3">
      <c r="A346" s="1">
        <v>267343</v>
      </c>
      <c r="B346" s="4">
        <v>44629</v>
      </c>
      <c r="C346">
        <v>4363.5</v>
      </c>
      <c r="D346">
        <v>4363.5</v>
      </c>
      <c r="E346">
        <v>4363.5</v>
      </c>
      <c r="F346">
        <v>4363.5</v>
      </c>
      <c r="G346">
        <v>1</v>
      </c>
      <c r="H346" t="s">
        <v>170</v>
      </c>
      <c r="I346" t="s">
        <v>25</v>
      </c>
      <c r="J346">
        <v>0.8</v>
      </c>
      <c r="K346">
        <v>-0.20075098452239221</v>
      </c>
      <c r="L346">
        <v>-7.5098452239219515E-4</v>
      </c>
      <c r="M346" s="7" t="s">
        <v>331</v>
      </c>
    </row>
    <row r="347" spans="1:13" x14ac:dyDescent="0.3">
      <c r="A347" s="1">
        <v>268229</v>
      </c>
      <c r="B347" s="6">
        <v>44126</v>
      </c>
      <c r="C347" s="7">
        <v>4250</v>
      </c>
      <c r="D347" s="7">
        <v>4480</v>
      </c>
      <c r="E347" s="7">
        <v>4230</v>
      </c>
      <c r="F347" s="7">
        <v>4233.5</v>
      </c>
      <c r="G347" s="7">
        <v>4325</v>
      </c>
      <c r="H347" s="7" t="s">
        <v>171</v>
      </c>
      <c r="I347" s="7" t="s">
        <v>26</v>
      </c>
      <c r="J347" s="7">
        <v>0.85</v>
      </c>
      <c r="K347" s="7">
        <v>-0.50135453474676095</v>
      </c>
      <c r="L347" s="7">
        <v>-0.35135453474676093</v>
      </c>
      <c r="M347" s="7" t="s">
        <v>329</v>
      </c>
    </row>
    <row r="348" spans="1:13" x14ac:dyDescent="0.3">
      <c r="A348" s="1">
        <v>268259</v>
      </c>
      <c r="B348" s="4">
        <v>44245</v>
      </c>
      <c r="C348">
        <v>3245</v>
      </c>
      <c r="D348">
        <v>3245</v>
      </c>
      <c r="E348">
        <v>3171.5</v>
      </c>
      <c r="F348">
        <v>3204</v>
      </c>
      <c r="G348">
        <v>151</v>
      </c>
      <c r="H348" t="s">
        <v>171</v>
      </c>
      <c r="I348" t="s">
        <v>26</v>
      </c>
      <c r="J348">
        <v>0.85</v>
      </c>
      <c r="K348">
        <v>-0.15606479652311339</v>
      </c>
      <c r="L348">
        <v>-6.0647965231134249E-3</v>
      </c>
    </row>
    <row r="349" spans="1:13" x14ac:dyDescent="0.3">
      <c r="A349" s="1">
        <v>271343</v>
      </c>
      <c r="B349" s="4">
        <v>41660</v>
      </c>
      <c r="C349">
        <v>557.4</v>
      </c>
      <c r="D349">
        <v>557.4</v>
      </c>
      <c r="E349">
        <v>557.4</v>
      </c>
      <c r="F349">
        <v>557.4</v>
      </c>
      <c r="G349">
        <v>100</v>
      </c>
      <c r="H349" t="s">
        <v>172</v>
      </c>
      <c r="I349" t="s">
        <v>26</v>
      </c>
      <c r="J349">
        <v>0.85</v>
      </c>
      <c r="K349">
        <v>-0.16456834532374109</v>
      </c>
      <c r="L349">
        <v>-1.456834532374107E-2</v>
      </c>
      <c r="M349" s="7" t="s">
        <v>331</v>
      </c>
    </row>
    <row r="350" spans="1:13" x14ac:dyDescent="0.3">
      <c r="A350" s="1">
        <v>271352</v>
      </c>
      <c r="B350" s="4">
        <v>42138</v>
      </c>
      <c r="C350">
        <v>509.65</v>
      </c>
      <c r="D350">
        <v>509.65</v>
      </c>
      <c r="E350">
        <v>509.65</v>
      </c>
      <c r="F350">
        <v>509.65</v>
      </c>
      <c r="G350">
        <v>440</v>
      </c>
      <c r="H350" t="s">
        <v>172</v>
      </c>
      <c r="I350" t="s">
        <v>26</v>
      </c>
      <c r="J350">
        <v>0.85</v>
      </c>
      <c r="K350">
        <v>-0.26110909749909389</v>
      </c>
      <c r="L350">
        <v>-0.1111090974990939</v>
      </c>
      <c r="M350" s="7" t="s">
        <v>331</v>
      </c>
    </row>
    <row r="351" spans="1:13" x14ac:dyDescent="0.3">
      <c r="A351" s="1">
        <v>272280</v>
      </c>
      <c r="B351" s="4">
        <v>45400</v>
      </c>
      <c r="C351">
        <v>6704</v>
      </c>
      <c r="D351">
        <v>6704</v>
      </c>
      <c r="E351">
        <v>5050</v>
      </c>
      <c r="F351">
        <v>5153.5</v>
      </c>
      <c r="G351">
        <v>67781</v>
      </c>
      <c r="H351" t="s">
        <v>173</v>
      </c>
      <c r="I351" t="s">
        <v>23</v>
      </c>
      <c r="J351">
        <v>0.85</v>
      </c>
      <c r="K351">
        <v>-0.27604130083585021</v>
      </c>
      <c r="L351">
        <v>-0.12604130083585019</v>
      </c>
    </row>
    <row r="352" spans="1:13" x14ac:dyDescent="0.3">
      <c r="A352" s="1">
        <v>275209</v>
      </c>
      <c r="B352" s="4">
        <v>44138</v>
      </c>
      <c r="C352">
        <v>2300</v>
      </c>
      <c r="D352">
        <v>2557.5</v>
      </c>
      <c r="E352">
        <v>2300</v>
      </c>
      <c r="F352">
        <v>2557.5</v>
      </c>
      <c r="G352">
        <v>38</v>
      </c>
      <c r="H352" t="s">
        <v>174</v>
      </c>
      <c r="I352" t="s">
        <v>26</v>
      </c>
      <c r="J352">
        <v>0.85</v>
      </c>
      <c r="K352">
        <v>-0.47268041237113401</v>
      </c>
      <c r="L352">
        <v>-0.32268041237113398</v>
      </c>
      <c r="M352" s="7" t="s">
        <v>331</v>
      </c>
    </row>
    <row r="353" spans="1:13" x14ac:dyDescent="0.3">
      <c r="A353" s="1">
        <v>275813</v>
      </c>
      <c r="B353" s="4">
        <v>45208</v>
      </c>
      <c r="C353">
        <v>80100</v>
      </c>
      <c r="D353">
        <v>80100</v>
      </c>
      <c r="E353">
        <v>62524</v>
      </c>
      <c r="F353">
        <v>62934</v>
      </c>
      <c r="G353">
        <v>3024</v>
      </c>
      <c r="H353" t="s">
        <v>174</v>
      </c>
      <c r="I353" t="s">
        <v>26</v>
      </c>
      <c r="J353">
        <v>0.85</v>
      </c>
      <c r="K353">
        <v>-0.2142139205024316</v>
      </c>
      <c r="L353">
        <v>-6.4213920502431576E-2</v>
      </c>
    </row>
    <row r="354" spans="1:13" x14ac:dyDescent="0.3">
      <c r="A354" s="1">
        <v>275881</v>
      </c>
      <c r="B354" s="6">
        <v>45315</v>
      </c>
      <c r="C354" s="7">
        <v>14796</v>
      </c>
      <c r="D354" s="7">
        <v>14915.5</v>
      </c>
      <c r="E354" s="7">
        <v>14592.5</v>
      </c>
      <c r="F354" s="7">
        <v>14793</v>
      </c>
      <c r="G354" s="7">
        <v>864</v>
      </c>
      <c r="H354" s="7" t="s">
        <v>174</v>
      </c>
      <c r="I354" s="7" t="s">
        <v>26</v>
      </c>
      <c r="J354" s="7">
        <v>0.85</v>
      </c>
      <c r="K354" s="7">
        <v>-0.85361002256264107</v>
      </c>
      <c r="L354" s="7">
        <v>-0.70361002256264105</v>
      </c>
      <c r="M354" s="7" t="s">
        <v>329</v>
      </c>
    </row>
    <row r="355" spans="1:13" x14ac:dyDescent="0.3">
      <c r="A355" s="1">
        <v>275964</v>
      </c>
      <c r="B355" s="4">
        <v>43707</v>
      </c>
      <c r="C355">
        <v>6019</v>
      </c>
      <c r="D355">
        <v>6019</v>
      </c>
      <c r="E355">
        <v>6019</v>
      </c>
      <c r="F355">
        <v>4530.8999999999996</v>
      </c>
      <c r="G355">
        <v>1000</v>
      </c>
      <c r="H355" t="s">
        <v>175</v>
      </c>
      <c r="I355" t="s">
        <v>12</v>
      </c>
      <c r="J355">
        <v>0.8</v>
      </c>
      <c r="K355">
        <v>-0.20510526315789479</v>
      </c>
      <c r="L355">
        <v>-5.1052631578948349E-3</v>
      </c>
    </row>
    <row r="356" spans="1:13" x14ac:dyDescent="0.3">
      <c r="A356" s="1">
        <v>276351</v>
      </c>
      <c r="B356" s="4">
        <v>45118</v>
      </c>
      <c r="C356">
        <v>13000</v>
      </c>
      <c r="D356">
        <v>13200</v>
      </c>
      <c r="E356">
        <v>13000</v>
      </c>
      <c r="F356">
        <v>13200</v>
      </c>
      <c r="G356">
        <v>3000</v>
      </c>
      <c r="H356" t="s">
        <v>175</v>
      </c>
      <c r="I356" t="s">
        <v>12</v>
      </c>
      <c r="J356">
        <v>0.8</v>
      </c>
      <c r="K356">
        <v>-0.240506329113924</v>
      </c>
      <c r="L356">
        <v>-4.0506329113924038E-2</v>
      </c>
      <c r="M356" t="s">
        <v>330</v>
      </c>
    </row>
    <row r="357" spans="1:13" x14ac:dyDescent="0.3">
      <c r="A357" s="1">
        <v>276413</v>
      </c>
      <c r="B357" s="4">
        <v>45301</v>
      </c>
      <c r="C357">
        <v>10225</v>
      </c>
      <c r="D357">
        <v>10225</v>
      </c>
      <c r="E357">
        <v>10225</v>
      </c>
      <c r="F357">
        <v>10225</v>
      </c>
      <c r="G357">
        <v>399125</v>
      </c>
      <c r="H357" t="s">
        <v>175</v>
      </c>
      <c r="I357" t="s">
        <v>176</v>
      </c>
      <c r="J357">
        <v>0.6</v>
      </c>
      <c r="K357">
        <v>-0.4490840517241379</v>
      </c>
      <c r="L357">
        <v>-4.9084051724137878E-2</v>
      </c>
      <c r="M357" t="s">
        <v>330</v>
      </c>
    </row>
    <row r="358" spans="1:13" x14ac:dyDescent="0.3">
      <c r="A358" s="1">
        <v>277497</v>
      </c>
      <c r="B358" s="6">
        <v>44126</v>
      </c>
      <c r="C358" s="7">
        <v>3347.5</v>
      </c>
      <c r="D358" s="7">
        <v>3543.5</v>
      </c>
      <c r="E358" s="7">
        <v>3333</v>
      </c>
      <c r="F358" s="7">
        <v>3543.5</v>
      </c>
      <c r="G358" s="7">
        <v>171</v>
      </c>
      <c r="H358" s="7" t="s">
        <v>177</v>
      </c>
      <c r="I358" s="7" t="s">
        <v>12</v>
      </c>
      <c r="J358" s="7">
        <v>0.7</v>
      </c>
      <c r="K358" s="7">
        <v>-0.94675632019833966</v>
      </c>
      <c r="L358" s="7">
        <v>-0.64675632019833962</v>
      </c>
      <c r="M358" s="7" t="s">
        <v>329</v>
      </c>
    </row>
    <row r="359" spans="1:13" x14ac:dyDescent="0.3">
      <c r="A359" s="1">
        <v>279180</v>
      </c>
      <c r="B359" s="4">
        <v>43689</v>
      </c>
      <c r="C359">
        <v>81</v>
      </c>
      <c r="D359">
        <v>81</v>
      </c>
      <c r="E359">
        <v>58.5</v>
      </c>
      <c r="F359">
        <v>61.35</v>
      </c>
      <c r="G359">
        <v>461355</v>
      </c>
      <c r="H359" t="s">
        <v>178</v>
      </c>
      <c r="I359" t="s">
        <v>12</v>
      </c>
      <c r="J359">
        <v>0.8</v>
      </c>
      <c r="K359">
        <v>-0.47339055793991408</v>
      </c>
      <c r="L359">
        <v>-0.27339055793991418</v>
      </c>
    </row>
    <row r="360" spans="1:13" x14ac:dyDescent="0.3">
      <c r="A360" s="1">
        <v>283052</v>
      </c>
      <c r="B360" s="4">
        <v>44845</v>
      </c>
      <c r="C360">
        <v>1878</v>
      </c>
      <c r="D360">
        <v>1880</v>
      </c>
      <c r="E360">
        <v>1767</v>
      </c>
      <c r="F360">
        <v>1787.5</v>
      </c>
      <c r="G360">
        <v>557</v>
      </c>
      <c r="H360" t="s">
        <v>179</v>
      </c>
      <c r="I360" t="s">
        <v>26</v>
      </c>
      <c r="J360">
        <v>0.85</v>
      </c>
      <c r="K360">
        <v>-0.18323052318939911</v>
      </c>
      <c r="L360">
        <v>-3.3230523189399119E-2</v>
      </c>
    </row>
    <row r="361" spans="1:13" x14ac:dyDescent="0.3">
      <c r="A361" s="1">
        <v>283473</v>
      </c>
      <c r="B361" s="4">
        <v>43424</v>
      </c>
      <c r="C361">
        <v>3600</v>
      </c>
      <c r="D361">
        <v>3600</v>
      </c>
      <c r="E361">
        <v>3600</v>
      </c>
      <c r="F361">
        <v>3600</v>
      </c>
      <c r="G361">
        <v>45478</v>
      </c>
      <c r="H361" t="s">
        <v>180</v>
      </c>
      <c r="I361" t="s">
        <v>67</v>
      </c>
      <c r="J361">
        <v>0.7</v>
      </c>
      <c r="K361">
        <v>-0.99899088545316528</v>
      </c>
      <c r="L361">
        <v>-0.69899088545316523</v>
      </c>
      <c r="M361" t="s">
        <v>332</v>
      </c>
    </row>
    <row r="362" spans="1:13" x14ac:dyDescent="0.3">
      <c r="A362" s="1">
        <v>284151</v>
      </c>
      <c r="B362" s="6">
        <v>44126</v>
      </c>
      <c r="C362" s="7">
        <v>4451.5</v>
      </c>
      <c r="D362" s="7">
        <v>4759.5</v>
      </c>
      <c r="E362" s="7">
        <v>4451.5</v>
      </c>
      <c r="F362" s="7">
        <v>4731.5</v>
      </c>
      <c r="G362" s="7">
        <v>31</v>
      </c>
      <c r="H362" s="7" t="s">
        <v>181</v>
      </c>
      <c r="I362" s="7" t="s">
        <v>26</v>
      </c>
      <c r="J362" s="7">
        <v>0.85</v>
      </c>
      <c r="K362" s="7">
        <v>-0.36841753987852899</v>
      </c>
      <c r="L362" s="7">
        <v>-0.21841753987852899</v>
      </c>
      <c r="M362" s="7" t="s">
        <v>329</v>
      </c>
    </row>
    <row r="363" spans="1:13" x14ac:dyDescent="0.3">
      <c r="A363" s="1">
        <v>284565</v>
      </c>
      <c r="B363" s="4">
        <v>44845</v>
      </c>
      <c r="C363">
        <v>5489</v>
      </c>
      <c r="D363">
        <v>5722.5</v>
      </c>
      <c r="E363">
        <v>5489</v>
      </c>
      <c r="F363">
        <v>5598.5</v>
      </c>
      <c r="G363">
        <v>4079</v>
      </c>
      <c r="H363" t="s">
        <v>181</v>
      </c>
      <c r="I363" t="s">
        <v>26</v>
      </c>
      <c r="J363">
        <v>0.85</v>
      </c>
      <c r="K363">
        <v>-0.1525770074926209</v>
      </c>
      <c r="L363">
        <v>-2.577007492620909E-3</v>
      </c>
    </row>
    <row r="364" spans="1:13" x14ac:dyDescent="0.3">
      <c r="A364" s="1">
        <v>285076</v>
      </c>
      <c r="B364" s="4">
        <v>43922</v>
      </c>
      <c r="C364">
        <v>62</v>
      </c>
      <c r="D364">
        <v>62</v>
      </c>
      <c r="E364">
        <v>60</v>
      </c>
      <c r="F364">
        <v>60.8</v>
      </c>
      <c r="G364">
        <v>24</v>
      </c>
      <c r="H364" t="s">
        <v>182</v>
      </c>
      <c r="I364" t="s">
        <v>26</v>
      </c>
      <c r="J364">
        <v>0.85</v>
      </c>
      <c r="K364">
        <v>-0.20000000000000009</v>
      </c>
      <c r="L364">
        <v>-5.0000000000000037E-2</v>
      </c>
    </row>
    <row r="365" spans="1:13" x14ac:dyDescent="0.3">
      <c r="A365" s="1">
        <v>287425</v>
      </c>
      <c r="B365" s="6">
        <v>44126</v>
      </c>
      <c r="C365" s="7">
        <v>5145</v>
      </c>
      <c r="D365" s="7">
        <v>5423.5</v>
      </c>
      <c r="E365" s="7">
        <v>5054</v>
      </c>
      <c r="F365" s="7">
        <v>5364.5</v>
      </c>
      <c r="G365" s="7">
        <v>1227</v>
      </c>
      <c r="H365" s="7" t="s">
        <v>183</v>
      </c>
      <c r="I365" s="7" t="s">
        <v>12</v>
      </c>
      <c r="J365" s="7">
        <v>0.7</v>
      </c>
      <c r="K365" s="7">
        <v>-0.47808532373400792</v>
      </c>
      <c r="L365" s="7">
        <v>-0.1780853237340079</v>
      </c>
      <c r="M365" s="7" t="s">
        <v>329</v>
      </c>
    </row>
    <row r="366" spans="1:13" x14ac:dyDescent="0.3">
      <c r="A366" s="1">
        <v>287917</v>
      </c>
      <c r="B366" s="6">
        <v>44882</v>
      </c>
      <c r="C366" s="7">
        <v>3700</v>
      </c>
      <c r="D366" s="7">
        <v>3829</v>
      </c>
      <c r="E366" s="7">
        <v>3700</v>
      </c>
      <c r="F366" s="7">
        <v>3813.5</v>
      </c>
      <c r="G366" s="7">
        <v>3578</v>
      </c>
      <c r="H366" s="7" t="s">
        <v>183</v>
      </c>
      <c r="I366" s="7" t="s">
        <v>12</v>
      </c>
      <c r="J366" s="7">
        <v>0.7</v>
      </c>
      <c r="K366" s="7">
        <v>-0.65571254457635542</v>
      </c>
      <c r="L366" s="7">
        <v>-0.35571254457635543</v>
      </c>
      <c r="M366" s="7" t="s">
        <v>329</v>
      </c>
    </row>
    <row r="367" spans="1:13" x14ac:dyDescent="0.3">
      <c r="A367" s="1">
        <v>288352</v>
      </c>
      <c r="B367" s="4">
        <v>44127</v>
      </c>
      <c r="C367">
        <v>5047</v>
      </c>
      <c r="D367">
        <v>5047</v>
      </c>
      <c r="E367">
        <v>5047</v>
      </c>
      <c r="F367">
        <v>5047</v>
      </c>
      <c r="G367">
        <v>2</v>
      </c>
      <c r="H367" t="s">
        <v>184</v>
      </c>
      <c r="I367" t="s">
        <v>26</v>
      </c>
      <c r="J367">
        <v>0.85</v>
      </c>
      <c r="K367">
        <v>-0.47850795618929531</v>
      </c>
      <c r="L367">
        <v>-0.32850795618929529</v>
      </c>
    </row>
    <row r="368" spans="1:13" x14ac:dyDescent="0.3">
      <c r="A368" s="1">
        <v>289976</v>
      </c>
      <c r="B368" s="6">
        <v>44126</v>
      </c>
      <c r="C368" s="7">
        <v>4150</v>
      </c>
      <c r="D368" s="7">
        <v>4150</v>
      </c>
      <c r="E368" s="7">
        <v>3830</v>
      </c>
      <c r="F368" s="7">
        <v>3977.5</v>
      </c>
      <c r="G368" s="7">
        <v>66154</v>
      </c>
      <c r="H368" s="7" t="s">
        <v>185</v>
      </c>
      <c r="I368" s="7" t="s">
        <v>25</v>
      </c>
      <c r="J368" s="7">
        <v>0.8</v>
      </c>
      <c r="K368" s="7">
        <v>-0.96583989625290934</v>
      </c>
      <c r="L368" s="7">
        <v>-0.76583989625290938</v>
      </c>
      <c r="M368" s="7" t="s">
        <v>329</v>
      </c>
    </row>
    <row r="369" spans="1:13" x14ac:dyDescent="0.3">
      <c r="A369" s="1">
        <v>290753</v>
      </c>
      <c r="B369" s="6">
        <v>45315</v>
      </c>
      <c r="C369" s="7">
        <v>19499</v>
      </c>
      <c r="D369" s="7">
        <v>19499</v>
      </c>
      <c r="E369" s="7">
        <v>18420.5</v>
      </c>
      <c r="F369" s="7">
        <v>19279</v>
      </c>
      <c r="G369" s="7">
        <v>30898</v>
      </c>
      <c r="H369" s="7" t="s">
        <v>185</v>
      </c>
      <c r="I369" s="7" t="s">
        <v>26</v>
      </c>
      <c r="J369" s="7">
        <v>0.85</v>
      </c>
      <c r="K369" s="7">
        <v>-0.48870206333209559</v>
      </c>
      <c r="L369" s="7">
        <v>-0.33870206333209563</v>
      </c>
      <c r="M369" s="7" t="s">
        <v>329</v>
      </c>
    </row>
    <row r="370" spans="1:13" x14ac:dyDescent="0.3">
      <c r="A370" s="1">
        <v>291170</v>
      </c>
      <c r="B370" s="4">
        <v>44861</v>
      </c>
      <c r="C370">
        <v>3898</v>
      </c>
      <c r="D370">
        <v>3924.5</v>
      </c>
      <c r="E370">
        <v>3714</v>
      </c>
      <c r="F370">
        <v>3763.5</v>
      </c>
      <c r="G370">
        <v>219802</v>
      </c>
      <c r="H370" t="s">
        <v>186</v>
      </c>
      <c r="I370" t="s">
        <v>23</v>
      </c>
      <c r="J370">
        <v>0.85</v>
      </c>
      <c r="K370">
        <v>-0.23985053524540501</v>
      </c>
      <c r="L370">
        <v>-8.9850535245404983E-2</v>
      </c>
    </row>
    <row r="371" spans="1:13" x14ac:dyDescent="0.3">
      <c r="A371" s="1">
        <v>291185</v>
      </c>
      <c r="B371" s="6">
        <v>44882</v>
      </c>
      <c r="C371" s="7">
        <v>1529.5</v>
      </c>
      <c r="D371" s="7">
        <v>1566</v>
      </c>
      <c r="E371" s="7">
        <v>1480.5</v>
      </c>
      <c r="F371" s="7">
        <v>1555.5</v>
      </c>
      <c r="G371" s="7">
        <v>48634</v>
      </c>
      <c r="H371" s="7" t="s">
        <v>186</v>
      </c>
      <c r="I371" s="7" t="s">
        <v>23</v>
      </c>
      <c r="J371" s="7">
        <v>0.85</v>
      </c>
      <c r="K371" s="7">
        <v>-0.66081552551242906</v>
      </c>
      <c r="L371" s="7">
        <v>-0.51081552551242904</v>
      </c>
      <c r="M371" s="7" t="s">
        <v>329</v>
      </c>
    </row>
    <row r="372" spans="1:13" x14ac:dyDescent="0.3">
      <c r="A372" s="1">
        <v>291639</v>
      </c>
      <c r="B372" s="4">
        <v>44861</v>
      </c>
      <c r="C372">
        <v>15.4</v>
      </c>
      <c r="D372">
        <v>15.4</v>
      </c>
      <c r="E372">
        <v>12.8</v>
      </c>
      <c r="F372">
        <v>13.1</v>
      </c>
      <c r="G372">
        <v>2658</v>
      </c>
      <c r="H372" t="s">
        <v>187</v>
      </c>
      <c r="I372" t="s">
        <v>26</v>
      </c>
      <c r="J372">
        <v>0.85</v>
      </c>
      <c r="K372">
        <v>-0.22713864306784659</v>
      </c>
      <c r="L372">
        <v>-7.7138643067846568E-2</v>
      </c>
      <c r="M372" s="7" t="s">
        <v>332</v>
      </c>
    </row>
    <row r="373" spans="1:13" x14ac:dyDescent="0.3">
      <c r="A373" s="1">
        <v>291654</v>
      </c>
      <c r="B373" s="6">
        <v>44882</v>
      </c>
      <c r="C373" s="7">
        <v>4.93</v>
      </c>
      <c r="D373" s="7">
        <v>5</v>
      </c>
      <c r="E373" s="7">
        <v>4.7</v>
      </c>
      <c r="F373" s="7">
        <v>5</v>
      </c>
      <c r="G373" s="7">
        <v>651</v>
      </c>
      <c r="H373" s="7" t="s">
        <v>187</v>
      </c>
      <c r="I373" s="7" t="s">
        <v>26</v>
      </c>
      <c r="J373" s="7">
        <v>0.85</v>
      </c>
      <c r="K373" s="7">
        <v>-0.65986394557823136</v>
      </c>
      <c r="L373" s="7">
        <v>-0.50986394557823134</v>
      </c>
      <c r="M373" s="7" t="s">
        <v>332</v>
      </c>
    </row>
    <row r="374" spans="1:13" x14ac:dyDescent="0.3">
      <c r="A374" s="1">
        <v>293585</v>
      </c>
      <c r="B374" s="4">
        <v>43689</v>
      </c>
      <c r="C374">
        <v>14</v>
      </c>
      <c r="D374">
        <v>14.95</v>
      </c>
      <c r="E374">
        <v>10.1</v>
      </c>
      <c r="F374">
        <v>11</v>
      </c>
      <c r="G374">
        <v>395873</v>
      </c>
      <c r="H374" t="s">
        <v>188</v>
      </c>
      <c r="I374" t="s">
        <v>15</v>
      </c>
      <c r="J374">
        <v>0.7</v>
      </c>
      <c r="K374">
        <v>-0.44584382871536532</v>
      </c>
      <c r="L374">
        <v>-0.1458438287153653</v>
      </c>
    </row>
    <row r="375" spans="1:13" x14ac:dyDescent="0.3">
      <c r="A375" s="1">
        <v>297215</v>
      </c>
      <c r="B375" s="4">
        <v>42668</v>
      </c>
      <c r="C375">
        <v>450</v>
      </c>
      <c r="D375">
        <v>497.2</v>
      </c>
      <c r="E375">
        <v>450</v>
      </c>
      <c r="F375">
        <v>491</v>
      </c>
      <c r="G375">
        <v>24140</v>
      </c>
      <c r="H375" t="s">
        <v>189</v>
      </c>
      <c r="I375" t="s">
        <v>12</v>
      </c>
      <c r="J375">
        <v>0.8</v>
      </c>
      <c r="K375">
        <v>-0.63790560471976399</v>
      </c>
      <c r="L375">
        <v>-0.43790560471976397</v>
      </c>
      <c r="M375" s="7" t="s">
        <v>329</v>
      </c>
    </row>
    <row r="376" spans="1:13" x14ac:dyDescent="0.3">
      <c r="A376" s="1">
        <v>297895</v>
      </c>
      <c r="B376" s="4">
        <v>43689</v>
      </c>
      <c r="C376">
        <v>298</v>
      </c>
      <c r="D376">
        <v>298</v>
      </c>
      <c r="E376">
        <v>225</v>
      </c>
      <c r="F376">
        <v>239</v>
      </c>
      <c r="G376">
        <v>25479</v>
      </c>
      <c r="H376" t="s">
        <v>189</v>
      </c>
      <c r="I376" t="s">
        <v>12</v>
      </c>
      <c r="J376">
        <v>0.8</v>
      </c>
      <c r="K376">
        <v>-0.29185185185185181</v>
      </c>
      <c r="L376">
        <v>-9.1851851851851851E-2</v>
      </c>
    </row>
    <row r="377" spans="1:13" x14ac:dyDescent="0.3">
      <c r="A377" s="1">
        <v>299162</v>
      </c>
      <c r="B377" s="6">
        <v>44882</v>
      </c>
      <c r="C377" s="7">
        <v>3376.5</v>
      </c>
      <c r="D377" s="7">
        <v>3376.5</v>
      </c>
      <c r="E377" s="7">
        <v>3376.5</v>
      </c>
      <c r="F377" s="7">
        <v>3376.5</v>
      </c>
      <c r="G377" s="7">
        <v>1</v>
      </c>
      <c r="H377" s="7" t="s">
        <v>190</v>
      </c>
      <c r="I377" s="7" t="s">
        <v>26</v>
      </c>
      <c r="J377" s="7">
        <v>0.85</v>
      </c>
      <c r="K377" s="7">
        <v>-0.73911531775159367</v>
      </c>
      <c r="L377" s="7">
        <v>-0.58911531775159365</v>
      </c>
      <c r="M377" s="7" t="s">
        <v>329</v>
      </c>
    </row>
    <row r="378" spans="1:13" x14ac:dyDescent="0.3">
      <c r="A378" s="1">
        <v>300580</v>
      </c>
      <c r="B378" s="6">
        <v>45315</v>
      </c>
      <c r="C378" s="7">
        <v>12900</v>
      </c>
      <c r="D378" s="7">
        <v>13400</v>
      </c>
      <c r="E378" s="7">
        <v>12250</v>
      </c>
      <c r="F378" s="7">
        <v>12406.5</v>
      </c>
      <c r="G378" s="7">
        <v>12518</v>
      </c>
      <c r="H378" s="7" t="s">
        <v>191</v>
      </c>
      <c r="I378" s="7" t="s">
        <v>26</v>
      </c>
      <c r="J378" s="7">
        <v>0.85</v>
      </c>
      <c r="K378" s="7">
        <v>-0.49821027725535411</v>
      </c>
      <c r="L378" s="7">
        <v>-0.34821027725535397</v>
      </c>
      <c r="M378" s="7" t="s">
        <v>329</v>
      </c>
    </row>
    <row r="379" spans="1:13" x14ac:dyDescent="0.3">
      <c r="A379" s="1">
        <v>300665</v>
      </c>
      <c r="B379" s="4">
        <v>41457</v>
      </c>
      <c r="C379">
        <v>67.75</v>
      </c>
      <c r="D379">
        <v>67.75</v>
      </c>
      <c r="E379">
        <v>67.75</v>
      </c>
      <c r="F379">
        <v>67.75</v>
      </c>
      <c r="G379">
        <v>1600</v>
      </c>
      <c r="H379" t="s">
        <v>192</v>
      </c>
      <c r="I379" t="s">
        <v>26</v>
      </c>
      <c r="J379">
        <v>0.85</v>
      </c>
      <c r="K379">
        <v>-0.20058997050147501</v>
      </c>
      <c r="L379">
        <v>-5.0589970501474957E-2</v>
      </c>
      <c r="M379" s="7" t="s">
        <v>331</v>
      </c>
    </row>
    <row r="380" spans="1:13" x14ac:dyDescent="0.3">
      <c r="A380" s="1">
        <v>309273</v>
      </c>
      <c r="B380" s="4">
        <v>45259</v>
      </c>
      <c r="C380">
        <v>70127</v>
      </c>
      <c r="D380">
        <v>70127</v>
      </c>
      <c r="E380">
        <v>63895</v>
      </c>
      <c r="F380">
        <v>65500</v>
      </c>
      <c r="G380">
        <v>536844</v>
      </c>
      <c r="H380" t="s">
        <v>193</v>
      </c>
      <c r="I380" t="s">
        <v>25</v>
      </c>
      <c r="J380">
        <v>0.85</v>
      </c>
      <c r="K380">
        <v>-0.1602510272501747</v>
      </c>
      <c r="L380">
        <v>-1.0251027250174681E-2</v>
      </c>
      <c r="M380" s="7" t="s">
        <v>330</v>
      </c>
    </row>
    <row r="381" spans="1:13" x14ac:dyDescent="0.3">
      <c r="A381" s="1">
        <v>312212</v>
      </c>
      <c r="B381" s="6">
        <v>44126</v>
      </c>
      <c r="C381" s="7">
        <v>3951</v>
      </c>
      <c r="D381" s="7">
        <v>4201</v>
      </c>
      <c r="E381" s="7">
        <v>3800</v>
      </c>
      <c r="F381" s="7">
        <v>4023</v>
      </c>
      <c r="G381" s="7">
        <v>21855</v>
      </c>
      <c r="H381" s="7" t="s">
        <v>194</v>
      </c>
      <c r="I381" s="7" t="s">
        <v>25</v>
      </c>
      <c r="J381" s="7">
        <v>0.8</v>
      </c>
      <c r="K381" s="7">
        <v>-0.47695508028342981</v>
      </c>
      <c r="L381" s="7">
        <v>-0.27695508028342991</v>
      </c>
      <c r="M381" s="7" t="s">
        <v>329</v>
      </c>
    </row>
    <row r="382" spans="1:13" x14ac:dyDescent="0.3">
      <c r="A382" s="1">
        <v>312704</v>
      </c>
      <c r="B382" s="6">
        <v>44882</v>
      </c>
      <c r="C382" s="7">
        <v>2600</v>
      </c>
      <c r="D382" s="7">
        <v>2716</v>
      </c>
      <c r="E382" s="7">
        <v>2600</v>
      </c>
      <c r="F382" s="7">
        <v>2699.5</v>
      </c>
      <c r="G382" s="7">
        <v>20658</v>
      </c>
      <c r="H382" s="7" t="s">
        <v>194</v>
      </c>
      <c r="I382" s="7" t="s">
        <v>25</v>
      </c>
      <c r="J382" s="7">
        <v>0.8</v>
      </c>
      <c r="K382" s="7">
        <v>-0.65679232089504802</v>
      </c>
      <c r="L382" s="7">
        <v>-0.45679232089504812</v>
      </c>
      <c r="M382" s="7" t="s">
        <v>329</v>
      </c>
    </row>
    <row r="383" spans="1:13" x14ac:dyDescent="0.3">
      <c r="A383" s="1">
        <v>313289</v>
      </c>
      <c r="B383" s="6">
        <v>44882</v>
      </c>
      <c r="C383" s="7">
        <v>4061</v>
      </c>
      <c r="D383" s="7">
        <v>4210</v>
      </c>
      <c r="E383" s="7">
        <v>4061</v>
      </c>
      <c r="F383" s="7">
        <v>4207.5</v>
      </c>
      <c r="G383" s="7">
        <v>2089</v>
      </c>
      <c r="H383" s="7" t="s">
        <v>195</v>
      </c>
      <c r="I383" s="7" t="s">
        <v>26</v>
      </c>
      <c r="J383" s="7">
        <v>0.85</v>
      </c>
      <c r="K383" s="7">
        <v>-0.74703901881801238</v>
      </c>
      <c r="L383" s="7">
        <v>-0.59703901881801236</v>
      </c>
      <c r="M383" s="7" t="s">
        <v>329</v>
      </c>
    </row>
    <row r="384" spans="1:13" x14ac:dyDescent="0.3">
      <c r="A384" s="1">
        <v>313709</v>
      </c>
      <c r="B384" s="4">
        <v>44873</v>
      </c>
      <c r="C384">
        <v>3405.5</v>
      </c>
      <c r="D384">
        <v>3900</v>
      </c>
      <c r="E384">
        <v>2951.5</v>
      </c>
      <c r="F384">
        <v>3166</v>
      </c>
      <c r="G384">
        <v>13816</v>
      </c>
      <c r="H384" t="s">
        <v>196</v>
      </c>
      <c r="I384" t="s">
        <v>26</v>
      </c>
      <c r="J384">
        <v>0.85</v>
      </c>
      <c r="K384">
        <v>-0.21224185120676789</v>
      </c>
      <c r="L384">
        <v>-6.224185120676784E-2</v>
      </c>
    </row>
    <row r="385" spans="1:13" x14ac:dyDescent="0.3">
      <c r="A385" s="1">
        <v>313710</v>
      </c>
      <c r="B385" s="4">
        <v>44874</v>
      </c>
      <c r="C385">
        <v>3230</v>
      </c>
      <c r="D385">
        <v>3230</v>
      </c>
      <c r="E385">
        <v>2597</v>
      </c>
      <c r="F385">
        <v>2607.5</v>
      </c>
      <c r="G385">
        <v>17561</v>
      </c>
      <c r="H385" t="s">
        <v>196</v>
      </c>
      <c r="I385" t="s">
        <v>26</v>
      </c>
      <c r="J385">
        <v>0.85</v>
      </c>
      <c r="K385">
        <v>-0.1764055590650663</v>
      </c>
      <c r="L385">
        <v>-2.640555906506625E-2</v>
      </c>
    </row>
    <row r="386" spans="1:13" x14ac:dyDescent="0.3">
      <c r="A386" s="1">
        <v>313993</v>
      </c>
      <c r="B386" s="4">
        <v>45303</v>
      </c>
      <c r="C386">
        <v>31500</v>
      </c>
      <c r="D386">
        <v>31500</v>
      </c>
      <c r="E386">
        <v>27100</v>
      </c>
      <c r="F386">
        <v>27520.5</v>
      </c>
      <c r="G386">
        <v>5369</v>
      </c>
      <c r="H386" t="s">
        <v>196</v>
      </c>
      <c r="I386" t="s">
        <v>26</v>
      </c>
      <c r="J386">
        <v>0.85</v>
      </c>
      <c r="K386">
        <v>-0.1998575353617584</v>
      </c>
      <c r="L386">
        <v>-4.9857535361758409E-2</v>
      </c>
    </row>
    <row r="387" spans="1:13" x14ac:dyDescent="0.3">
      <c r="A387" s="1">
        <v>314028</v>
      </c>
      <c r="B387" s="4">
        <v>45356</v>
      </c>
      <c r="C387">
        <v>70000</v>
      </c>
      <c r="D387">
        <v>71290</v>
      </c>
      <c r="E387">
        <v>57241.5</v>
      </c>
      <c r="F387">
        <v>57965.5</v>
      </c>
      <c r="G387">
        <v>7747</v>
      </c>
      <c r="H387" t="s">
        <v>196</v>
      </c>
      <c r="I387" t="s">
        <v>23</v>
      </c>
      <c r="J387">
        <v>0.85</v>
      </c>
      <c r="K387">
        <v>-0.1807575436364921</v>
      </c>
      <c r="L387">
        <v>-3.075754363649208E-2</v>
      </c>
    </row>
    <row r="388" spans="1:13" x14ac:dyDescent="0.3">
      <c r="A388" s="1">
        <v>314045</v>
      </c>
      <c r="B388" s="4">
        <v>45385</v>
      </c>
      <c r="C388">
        <v>88501</v>
      </c>
      <c r="D388">
        <v>91200</v>
      </c>
      <c r="E388">
        <v>85000</v>
      </c>
      <c r="F388">
        <v>86058.5</v>
      </c>
      <c r="G388">
        <v>20064</v>
      </c>
      <c r="H388" t="s">
        <v>196</v>
      </c>
      <c r="I388" t="s">
        <v>23</v>
      </c>
      <c r="J388">
        <v>0.85</v>
      </c>
      <c r="K388">
        <v>-0.17692657150371799</v>
      </c>
      <c r="L388">
        <v>-2.6926571503718019E-2</v>
      </c>
    </row>
    <row r="389" spans="1:13" x14ac:dyDescent="0.3">
      <c r="A389" s="1">
        <v>314063</v>
      </c>
      <c r="B389" s="4">
        <v>45412</v>
      </c>
      <c r="C389">
        <v>66840</v>
      </c>
      <c r="D389">
        <v>66840</v>
      </c>
      <c r="E389">
        <v>58065</v>
      </c>
      <c r="F389">
        <v>58420.5</v>
      </c>
      <c r="G389">
        <v>12147</v>
      </c>
      <c r="H389" t="s">
        <v>196</v>
      </c>
      <c r="I389" t="s">
        <v>23</v>
      </c>
      <c r="J389">
        <v>0.85</v>
      </c>
      <c r="K389">
        <v>-0.16163080212675879</v>
      </c>
      <c r="L389">
        <v>-1.163080212675882E-2</v>
      </c>
    </row>
    <row r="390" spans="1:13" x14ac:dyDescent="0.3">
      <c r="A390" s="1">
        <v>316824</v>
      </c>
      <c r="B390" s="4">
        <v>43223</v>
      </c>
      <c r="C390">
        <v>265</v>
      </c>
      <c r="D390">
        <v>266</v>
      </c>
      <c r="E390">
        <v>265</v>
      </c>
      <c r="F390">
        <v>266</v>
      </c>
      <c r="G390">
        <v>11000</v>
      </c>
      <c r="H390" t="s">
        <v>197</v>
      </c>
      <c r="I390" t="s">
        <v>65</v>
      </c>
      <c r="J390">
        <v>0.7</v>
      </c>
      <c r="K390">
        <v>-0.34320987654320989</v>
      </c>
      <c r="L390">
        <v>-4.3209876543209853E-2</v>
      </c>
      <c r="M390" t="s">
        <v>330</v>
      </c>
    </row>
    <row r="391" spans="1:13" x14ac:dyDescent="0.3">
      <c r="A391" s="1">
        <v>316851</v>
      </c>
      <c r="B391" s="4">
        <v>43312</v>
      </c>
      <c r="C391">
        <v>188</v>
      </c>
      <c r="D391">
        <v>188</v>
      </c>
      <c r="E391">
        <v>188</v>
      </c>
      <c r="F391">
        <v>188</v>
      </c>
      <c r="G391">
        <v>16000</v>
      </c>
      <c r="H391" t="s">
        <v>197</v>
      </c>
      <c r="I391" t="s">
        <v>65</v>
      </c>
      <c r="J391">
        <v>0.7</v>
      </c>
      <c r="K391">
        <v>-0.50264550264550267</v>
      </c>
      <c r="L391">
        <v>-0.2026455026455026</v>
      </c>
      <c r="M391" t="s">
        <v>330</v>
      </c>
    </row>
    <row r="392" spans="1:13" x14ac:dyDescent="0.3">
      <c r="A392" s="1">
        <v>317476</v>
      </c>
      <c r="B392" s="4">
        <v>41971</v>
      </c>
      <c r="C392">
        <v>226.9</v>
      </c>
      <c r="D392">
        <v>226.9</v>
      </c>
      <c r="E392">
        <v>226.9</v>
      </c>
      <c r="F392">
        <v>226.9</v>
      </c>
      <c r="G392">
        <v>53</v>
      </c>
      <c r="H392" t="s">
        <v>198</v>
      </c>
      <c r="I392" t="s">
        <v>26</v>
      </c>
      <c r="J392">
        <v>0.85</v>
      </c>
      <c r="K392">
        <v>-0.33664668908054368</v>
      </c>
      <c r="L392">
        <v>-0.18664668908054369</v>
      </c>
      <c r="M392" t="s">
        <v>331</v>
      </c>
    </row>
    <row r="393" spans="1:13" x14ac:dyDescent="0.3">
      <c r="A393" s="1">
        <v>317659</v>
      </c>
      <c r="B393" s="6">
        <v>44126</v>
      </c>
      <c r="C393" s="7">
        <v>3677.5</v>
      </c>
      <c r="D393" s="7">
        <v>3721.5</v>
      </c>
      <c r="E393" s="7">
        <v>3677</v>
      </c>
      <c r="F393" s="7">
        <v>3721.5</v>
      </c>
      <c r="G393" s="7">
        <v>19</v>
      </c>
      <c r="H393" s="7" t="s">
        <v>198</v>
      </c>
      <c r="I393" s="7" t="s">
        <v>26</v>
      </c>
      <c r="J393" s="7">
        <v>0.85</v>
      </c>
      <c r="K393" s="7">
        <v>-0.65328178133879911</v>
      </c>
      <c r="L393" s="7">
        <v>-0.50328178133879908</v>
      </c>
      <c r="M393" s="7" t="s">
        <v>329</v>
      </c>
    </row>
    <row r="394" spans="1:13" x14ac:dyDescent="0.3">
      <c r="A394" s="1">
        <v>319130</v>
      </c>
      <c r="B394" s="4">
        <v>44671</v>
      </c>
      <c r="C394">
        <v>3969</v>
      </c>
      <c r="D394">
        <v>3969</v>
      </c>
      <c r="E394">
        <v>2565</v>
      </c>
      <c r="F394">
        <v>2759.5</v>
      </c>
      <c r="G394">
        <v>81810</v>
      </c>
      <c r="H394" t="s">
        <v>199</v>
      </c>
      <c r="I394" t="s">
        <v>12</v>
      </c>
      <c r="J394">
        <v>0.7</v>
      </c>
      <c r="K394">
        <v>-0.33943746259724722</v>
      </c>
      <c r="L394">
        <v>-3.9437462597247119E-2</v>
      </c>
    </row>
    <row r="395" spans="1:13" x14ac:dyDescent="0.3">
      <c r="A395" s="1">
        <v>319553</v>
      </c>
      <c r="B395" s="6">
        <v>45315</v>
      </c>
      <c r="C395" s="7">
        <v>13799</v>
      </c>
      <c r="D395" s="7">
        <v>15143</v>
      </c>
      <c r="E395" s="7">
        <v>13799</v>
      </c>
      <c r="F395" s="7">
        <v>14932.5</v>
      </c>
      <c r="G395" s="7">
        <v>11968</v>
      </c>
      <c r="H395" s="7" t="s">
        <v>199</v>
      </c>
      <c r="I395" s="7" t="s">
        <v>26</v>
      </c>
      <c r="J395" s="7">
        <v>0.85</v>
      </c>
      <c r="K395" s="7">
        <v>-0.6212620792857686</v>
      </c>
      <c r="L395" s="7">
        <v>-0.47126207928576858</v>
      </c>
      <c r="M395" s="7" t="s">
        <v>329</v>
      </c>
    </row>
    <row r="396" spans="1:13" x14ac:dyDescent="0.3">
      <c r="A396" s="1">
        <v>320851</v>
      </c>
      <c r="B396" s="4">
        <v>45188</v>
      </c>
      <c r="C396">
        <v>1710</v>
      </c>
      <c r="D396">
        <v>1710</v>
      </c>
      <c r="E396">
        <v>1557</v>
      </c>
      <c r="F396">
        <v>1568.5</v>
      </c>
      <c r="G396">
        <v>309615</v>
      </c>
      <c r="H396" t="s">
        <v>200</v>
      </c>
      <c r="I396" t="s">
        <v>26</v>
      </c>
      <c r="J396">
        <v>0.85</v>
      </c>
      <c r="K396">
        <v>-0.17360379346680721</v>
      </c>
      <c r="L396">
        <v>-2.3603793466807192E-2</v>
      </c>
    </row>
    <row r="397" spans="1:13" x14ac:dyDescent="0.3">
      <c r="A397" s="1">
        <v>321030</v>
      </c>
      <c r="B397" s="4">
        <v>42416</v>
      </c>
      <c r="C397">
        <v>288.89999999999998</v>
      </c>
      <c r="D397">
        <v>288.89999999999998</v>
      </c>
      <c r="E397">
        <v>288.89999999999998</v>
      </c>
      <c r="F397">
        <v>288.89999999999998</v>
      </c>
      <c r="G397">
        <v>6000</v>
      </c>
      <c r="H397" t="s">
        <v>201</v>
      </c>
      <c r="I397" t="s">
        <v>26</v>
      </c>
      <c r="J397">
        <v>0.85</v>
      </c>
      <c r="K397">
        <v>-0.51990029081844624</v>
      </c>
      <c r="L397">
        <v>-0.36990029081844622</v>
      </c>
      <c r="M397" s="7" t="s">
        <v>331</v>
      </c>
    </row>
    <row r="398" spans="1:13" x14ac:dyDescent="0.3">
      <c r="A398" s="1">
        <v>321860</v>
      </c>
      <c r="B398" s="6">
        <v>44882</v>
      </c>
      <c r="C398" s="7">
        <v>2825.5</v>
      </c>
      <c r="D398" s="7">
        <v>2948.5</v>
      </c>
      <c r="E398" s="7">
        <v>2825.5</v>
      </c>
      <c r="F398" s="7">
        <v>2943.5</v>
      </c>
      <c r="G398" s="7">
        <v>914</v>
      </c>
      <c r="H398" s="7" t="s">
        <v>201</v>
      </c>
      <c r="I398" s="7" t="s">
        <v>26</v>
      </c>
      <c r="J398" s="7">
        <v>0.85</v>
      </c>
      <c r="K398" s="7">
        <v>-0.74163960326516287</v>
      </c>
      <c r="L398" s="7">
        <v>-0.59163960326516285</v>
      </c>
      <c r="M398" s="7" t="s">
        <v>329</v>
      </c>
    </row>
    <row r="399" spans="1:13" x14ac:dyDescent="0.3">
      <c r="A399" s="1">
        <v>322558</v>
      </c>
      <c r="B399" s="6">
        <v>41611</v>
      </c>
      <c r="C399" s="7">
        <v>150</v>
      </c>
      <c r="D399" s="7">
        <v>150</v>
      </c>
      <c r="E399" s="7">
        <v>150</v>
      </c>
      <c r="F399" s="7">
        <v>150</v>
      </c>
      <c r="G399" s="7">
        <v>20000</v>
      </c>
      <c r="H399" s="7" t="s">
        <v>202</v>
      </c>
      <c r="I399" s="7" t="s">
        <v>36</v>
      </c>
      <c r="J399" s="7">
        <v>0.7</v>
      </c>
      <c r="K399" s="7">
        <v>-0.37629937629937632</v>
      </c>
      <c r="L399" s="7">
        <v>-7.629937629937622E-2</v>
      </c>
      <c r="M399" s="7" t="s">
        <v>330</v>
      </c>
    </row>
    <row r="400" spans="1:13" x14ac:dyDescent="0.3">
      <c r="A400" s="1">
        <v>322823</v>
      </c>
      <c r="B400" s="6">
        <v>43899</v>
      </c>
      <c r="C400" s="7">
        <v>119</v>
      </c>
      <c r="D400" s="7">
        <v>119</v>
      </c>
      <c r="E400" s="7">
        <v>119</v>
      </c>
      <c r="F400" s="7">
        <v>119</v>
      </c>
      <c r="G400" s="7">
        <v>5000</v>
      </c>
      <c r="H400" s="7" t="s">
        <v>202</v>
      </c>
      <c r="I400" s="7" t="s">
        <v>36</v>
      </c>
      <c r="J400" s="7">
        <v>0.7</v>
      </c>
      <c r="K400" s="7">
        <v>-0.36960989977327141</v>
      </c>
      <c r="L400" s="7">
        <v>-6.9609899773271366E-2</v>
      </c>
      <c r="M400" s="7" t="s">
        <v>330</v>
      </c>
    </row>
    <row r="401" spans="1:13" x14ac:dyDescent="0.3">
      <c r="A401" s="1">
        <v>322862</v>
      </c>
      <c r="B401" s="6">
        <v>44043</v>
      </c>
      <c r="C401" s="7">
        <v>51</v>
      </c>
      <c r="D401" s="7">
        <v>51</v>
      </c>
      <c r="E401" s="7">
        <v>49</v>
      </c>
      <c r="F401" s="7">
        <v>49.81</v>
      </c>
      <c r="G401" s="7">
        <v>293818</v>
      </c>
      <c r="H401" s="7" t="s">
        <v>202</v>
      </c>
      <c r="I401" s="7" t="s">
        <v>36</v>
      </c>
      <c r="J401" s="7">
        <v>0.7</v>
      </c>
      <c r="K401" s="7">
        <v>-0.31087437742113999</v>
      </c>
      <c r="L401" s="7">
        <v>-1.087437742113995E-2</v>
      </c>
      <c r="M401" s="7" t="s">
        <v>330</v>
      </c>
    </row>
    <row r="402" spans="1:13" x14ac:dyDescent="0.3">
      <c r="A402" s="1">
        <v>322884</v>
      </c>
      <c r="B402" s="6">
        <v>44076</v>
      </c>
      <c r="C402" s="7">
        <v>27.45</v>
      </c>
      <c r="D402" s="7">
        <v>27.45</v>
      </c>
      <c r="E402" s="7">
        <v>26.9</v>
      </c>
      <c r="F402" s="7">
        <v>26.9</v>
      </c>
      <c r="G402" s="7">
        <v>510225</v>
      </c>
      <c r="H402" s="7" t="s">
        <v>202</v>
      </c>
      <c r="I402" s="7" t="s">
        <v>36</v>
      </c>
      <c r="J402" s="7">
        <v>0.7</v>
      </c>
      <c r="K402" s="7">
        <v>-0.45436105476673427</v>
      </c>
      <c r="L402" s="7">
        <v>-0.1543610547667342</v>
      </c>
      <c r="M402" s="7" t="s">
        <v>330</v>
      </c>
    </row>
    <row r="403" spans="1:13" x14ac:dyDescent="0.3">
      <c r="A403" s="1">
        <v>323003</v>
      </c>
      <c r="B403" s="4">
        <v>43762</v>
      </c>
      <c r="C403">
        <v>302</v>
      </c>
      <c r="D403">
        <v>313.5</v>
      </c>
      <c r="E403">
        <v>292.5</v>
      </c>
      <c r="F403">
        <v>313.5</v>
      </c>
      <c r="G403">
        <v>3498</v>
      </c>
      <c r="H403" t="s">
        <v>203</v>
      </c>
      <c r="I403" t="s">
        <v>26</v>
      </c>
      <c r="J403">
        <v>0.85</v>
      </c>
      <c r="K403">
        <v>-0.2142857142857143</v>
      </c>
      <c r="L403">
        <v>-6.4285714285714279E-2</v>
      </c>
    </row>
    <row r="404" spans="1:13" x14ac:dyDescent="0.3">
      <c r="A404" s="1">
        <v>323100</v>
      </c>
      <c r="B404" s="4">
        <v>43908</v>
      </c>
      <c r="C404">
        <v>225</v>
      </c>
      <c r="D404">
        <v>229.5</v>
      </c>
      <c r="E404">
        <v>180</v>
      </c>
      <c r="F404">
        <v>184.25</v>
      </c>
      <c r="G404">
        <v>16952</v>
      </c>
      <c r="H404" t="s">
        <v>203</v>
      </c>
      <c r="I404" t="s">
        <v>26</v>
      </c>
      <c r="J404">
        <v>0.85</v>
      </c>
      <c r="K404">
        <v>-0.18111111111111111</v>
      </c>
      <c r="L404">
        <v>-3.1111111111111089E-2</v>
      </c>
    </row>
    <row r="405" spans="1:13" x14ac:dyDescent="0.3">
      <c r="A405" s="1">
        <v>323248</v>
      </c>
      <c r="B405" s="4">
        <v>44133</v>
      </c>
      <c r="C405">
        <v>594</v>
      </c>
      <c r="D405">
        <v>594</v>
      </c>
      <c r="E405">
        <v>504.5</v>
      </c>
      <c r="F405">
        <v>535.5</v>
      </c>
      <c r="G405">
        <v>13234</v>
      </c>
      <c r="H405" t="s">
        <v>203</v>
      </c>
      <c r="I405" t="s">
        <v>26</v>
      </c>
      <c r="J405">
        <v>0.85</v>
      </c>
      <c r="K405">
        <v>-0.18306636155606401</v>
      </c>
      <c r="L405">
        <v>-3.3066361556064017E-2</v>
      </c>
    </row>
    <row r="406" spans="1:13" x14ac:dyDescent="0.3">
      <c r="A406" s="1">
        <v>323306</v>
      </c>
      <c r="B406" s="4">
        <v>44224</v>
      </c>
      <c r="C406">
        <v>934.5</v>
      </c>
      <c r="D406">
        <v>934.5</v>
      </c>
      <c r="E406">
        <v>700</v>
      </c>
      <c r="F406">
        <v>742</v>
      </c>
      <c r="G406">
        <v>117040</v>
      </c>
      <c r="H406" t="s">
        <v>203</v>
      </c>
      <c r="I406" t="s">
        <v>26</v>
      </c>
      <c r="J406">
        <v>0.85</v>
      </c>
      <c r="K406">
        <v>-0.30295913574448102</v>
      </c>
      <c r="L406">
        <v>-0.15295913574448089</v>
      </c>
    </row>
    <row r="407" spans="1:13" x14ac:dyDescent="0.3">
      <c r="A407" s="1">
        <v>324825</v>
      </c>
      <c r="B407" s="4">
        <v>44175</v>
      </c>
      <c r="C407">
        <v>929.5</v>
      </c>
      <c r="D407">
        <v>929.5</v>
      </c>
      <c r="E407">
        <v>880</v>
      </c>
      <c r="F407">
        <v>900.5</v>
      </c>
      <c r="G407">
        <v>173</v>
      </c>
      <c r="H407" t="s">
        <v>204</v>
      </c>
      <c r="I407" t="s">
        <v>26</v>
      </c>
      <c r="J407">
        <v>0.85</v>
      </c>
      <c r="K407">
        <v>-0.21284965034965031</v>
      </c>
      <c r="L407">
        <v>-6.2849650349650288E-2</v>
      </c>
    </row>
    <row r="408" spans="1:13" x14ac:dyDescent="0.3">
      <c r="A408" s="1">
        <v>324845</v>
      </c>
      <c r="B408" s="4">
        <v>44286</v>
      </c>
      <c r="C408">
        <v>1047</v>
      </c>
      <c r="D408">
        <v>1124</v>
      </c>
      <c r="E408">
        <v>1047</v>
      </c>
      <c r="F408">
        <v>1123.5</v>
      </c>
      <c r="G408">
        <v>23</v>
      </c>
      <c r="H408" t="s">
        <v>204</v>
      </c>
      <c r="I408" t="s">
        <v>26</v>
      </c>
      <c r="J408">
        <v>0.85</v>
      </c>
      <c r="K408">
        <v>-0.25645268034414292</v>
      </c>
      <c r="L408">
        <v>-0.1064526803441429</v>
      </c>
    </row>
    <row r="409" spans="1:13" x14ac:dyDescent="0.3">
      <c r="A409" s="1">
        <v>325419</v>
      </c>
      <c r="B409" s="4">
        <v>45282</v>
      </c>
      <c r="C409">
        <v>6850</v>
      </c>
      <c r="D409">
        <v>6850</v>
      </c>
      <c r="E409">
        <v>5550</v>
      </c>
      <c r="F409">
        <v>5935</v>
      </c>
      <c r="G409">
        <v>8065</v>
      </c>
      <c r="H409" t="s">
        <v>204</v>
      </c>
      <c r="I409" t="s">
        <v>26</v>
      </c>
      <c r="J409">
        <v>0.85</v>
      </c>
      <c r="K409">
        <v>-0.15893148161269749</v>
      </c>
      <c r="L409">
        <v>-8.9314816126975227E-3</v>
      </c>
    </row>
    <row r="410" spans="1:13" x14ac:dyDescent="0.3">
      <c r="A410" s="1">
        <v>325824</v>
      </c>
      <c r="B410" s="6">
        <v>44882</v>
      </c>
      <c r="C410" s="7">
        <v>2880.5</v>
      </c>
      <c r="D410" s="7">
        <v>2986</v>
      </c>
      <c r="E410" s="7">
        <v>2880.5</v>
      </c>
      <c r="F410" s="7">
        <v>2986</v>
      </c>
      <c r="G410" s="7">
        <v>45</v>
      </c>
      <c r="H410" s="7" t="s">
        <v>205</v>
      </c>
      <c r="I410" s="7" t="s">
        <v>26</v>
      </c>
      <c r="J410" s="7">
        <v>0.85</v>
      </c>
      <c r="K410" s="7">
        <v>-0.86127113919345843</v>
      </c>
      <c r="L410" s="7">
        <v>-0.71127113919345841</v>
      </c>
      <c r="M410" s="7" t="s">
        <v>329</v>
      </c>
    </row>
    <row r="411" spans="1:13" x14ac:dyDescent="0.3">
      <c r="A411" s="1">
        <v>326038</v>
      </c>
      <c r="B411" s="4">
        <v>45222</v>
      </c>
      <c r="C411">
        <v>8822.5</v>
      </c>
      <c r="D411">
        <v>8822.5</v>
      </c>
      <c r="E411">
        <v>7547.5</v>
      </c>
      <c r="F411">
        <v>7547.5</v>
      </c>
      <c r="G411">
        <v>69</v>
      </c>
      <c r="H411" t="s">
        <v>205</v>
      </c>
      <c r="I411" t="s">
        <v>26</v>
      </c>
      <c r="J411">
        <v>0.85</v>
      </c>
      <c r="K411">
        <v>-0.1577860849188194</v>
      </c>
      <c r="L411">
        <v>-7.7860849188193804E-3</v>
      </c>
    </row>
    <row r="412" spans="1:13" x14ac:dyDescent="0.3">
      <c r="A412" s="1">
        <v>326453</v>
      </c>
      <c r="B412" s="6">
        <v>44126</v>
      </c>
      <c r="C412" s="7">
        <v>4130</v>
      </c>
      <c r="D412" s="7">
        <v>4173.5</v>
      </c>
      <c r="E412" s="7">
        <v>3960</v>
      </c>
      <c r="F412" s="7">
        <v>4080.5</v>
      </c>
      <c r="G412" s="7">
        <v>4829</v>
      </c>
      <c r="H412" s="7" t="s">
        <v>206</v>
      </c>
      <c r="I412" s="7" t="s">
        <v>26</v>
      </c>
      <c r="J412" s="7">
        <v>0.85</v>
      </c>
      <c r="K412" s="7">
        <v>-0.49376589541591709</v>
      </c>
      <c r="L412" s="7">
        <v>-0.34376589541591712</v>
      </c>
      <c r="M412" s="7" t="s">
        <v>329</v>
      </c>
    </row>
    <row r="413" spans="1:13" x14ac:dyDescent="0.3">
      <c r="A413" s="1">
        <v>326629</v>
      </c>
      <c r="B413" s="4">
        <v>44397</v>
      </c>
      <c r="C413">
        <v>1399.5</v>
      </c>
      <c r="D413">
        <v>1407</v>
      </c>
      <c r="E413">
        <v>1363</v>
      </c>
      <c r="F413">
        <v>1391</v>
      </c>
      <c r="G413">
        <v>30578</v>
      </c>
      <c r="H413" t="s">
        <v>206</v>
      </c>
      <c r="I413" t="s">
        <v>26</v>
      </c>
      <c r="J413">
        <v>0.85</v>
      </c>
      <c r="K413">
        <v>-0.74986513217047301</v>
      </c>
      <c r="L413">
        <v>-0.59986513217047299</v>
      </c>
      <c r="M413" t="s">
        <v>329</v>
      </c>
    </row>
    <row r="414" spans="1:13" x14ac:dyDescent="0.3">
      <c r="A414" s="1">
        <v>327427</v>
      </c>
      <c r="B414" s="4">
        <v>43907</v>
      </c>
      <c r="C414">
        <v>3361</v>
      </c>
      <c r="D414">
        <v>3361</v>
      </c>
      <c r="E414">
        <v>3356.5</v>
      </c>
      <c r="F414">
        <v>3358</v>
      </c>
      <c r="G414">
        <v>1260</v>
      </c>
      <c r="H414" t="s">
        <v>207</v>
      </c>
      <c r="I414" t="s">
        <v>26</v>
      </c>
      <c r="J414">
        <v>0.85</v>
      </c>
      <c r="K414">
        <v>-0.17402533513712951</v>
      </c>
      <c r="L414">
        <v>-2.4025335137129459E-2</v>
      </c>
    </row>
    <row r="415" spans="1:13" x14ac:dyDescent="0.3">
      <c r="A415" s="1">
        <v>327527</v>
      </c>
      <c r="B415" s="4">
        <v>44131</v>
      </c>
      <c r="C415">
        <v>3308</v>
      </c>
      <c r="D415">
        <v>3565</v>
      </c>
      <c r="E415">
        <v>3308</v>
      </c>
      <c r="F415">
        <v>3450</v>
      </c>
      <c r="G415">
        <v>4916</v>
      </c>
      <c r="H415" t="s">
        <v>207</v>
      </c>
      <c r="I415" t="s">
        <v>26</v>
      </c>
      <c r="J415">
        <v>0.85</v>
      </c>
      <c r="K415">
        <v>-0.53675730110775421</v>
      </c>
      <c r="L415">
        <v>-0.38675730110775419</v>
      </c>
      <c r="M415" t="s">
        <v>329</v>
      </c>
    </row>
    <row r="416" spans="1:13" x14ac:dyDescent="0.3">
      <c r="A416" s="1">
        <v>330708</v>
      </c>
      <c r="B416" s="4">
        <v>45390</v>
      </c>
      <c r="C416">
        <v>56500</v>
      </c>
      <c r="D416">
        <v>56500</v>
      </c>
      <c r="E416">
        <v>56500</v>
      </c>
      <c r="F416">
        <v>56500</v>
      </c>
      <c r="G416">
        <v>1150000</v>
      </c>
      <c r="H416" t="s">
        <v>208</v>
      </c>
      <c r="I416" t="s">
        <v>78</v>
      </c>
      <c r="J416">
        <v>0.75</v>
      </c>
      <c r="K416">
        <v>-0.29109159347553332</v>
      </c>
      <c r="L416">
        <v>-4.1091593475533261E-2</v>
      </c>
      <c r="M416" t="s">
        <v>331</v>
      </c>
    </row>
    <row r="417" spans="1:13" x14ac:dyDescent="0.3">
      <c r="A417" s="1">
        <v>330740</v>
      </c>
      <c r="B417" s="4">
        <v>43966</v>
      </c>
      <c r="C417">
        <v>4148</v>
      </c>
      <c r="D417">
        <v>4148</v>
      </c>
      <c r="E417">
        <v>4148</v>
      </c>
      <c r="F417">
        <v>4148</v>
      </c>
      <c r="G417">
        <v>30000</v>
      </c>
      <c r="H417" t="s">
        <v>209</v>
      </c>
      <c r="I417" t="s">
        <v>67</v>
      </c>
      <c r="J417">
        <v>0.7</v>
      </c>
      <c r="K417">
        <v>-0.36768292682926829</v>
      </c>
      <c r="L417">
        <v>-6.7682926829268242E-2</v>
      </c>
    </row>
    <row r="418" spans="1:13" x14ac:dyDescent="0.3">
      <c r="A418" s="1">
        <v>331727</v>
      </c>
      <c r="B418" s="4">
        <v>44130</v>
      </c>
      <c r="C418">
        <v>3497</v>
      </c>
      <c r="D418">
        <v>3497</v>
      </c>
      <c r="E418">
        <v>3038</v>
      </c>
      <c r="F418">
        <v>3041.5</v>
      </c>
      <c r="G418">
        <v>118</v>
      </c>
      <c r="H418" t="s">
        <v>210</v>
      </c>
      <c r="I418" t="s">
        <v>26</v>
      </c>
      <c r="J418">
        <v>0.85</v>
      </c>
      <c r="K418">
        <v>-0.16819362778613431</v>
      </c>
      <c r="L418">
        <v>-1.8193627786134311E-2</v>
      </c>
    </row>
    <row r="419" spans="1:13" x14ac:dyDescent="0.3">
      <c r="A419" s="1">
        <v>332879</v>
      </c>
      <c r="B419" s="4">
        <v>45222</v>
      </c>
      <c r="C419">
        <v>12990</v>
      </c>
      <c r="D419">
        <v>12990</v>
      </c>
      <c r="E419">
        <v>10766.5</v>
      </c>
      <c r="F419">
        <v>10885</v>
      </c>
      <c r="G419">
        <v>1240</v>
      </c>
      <c r="H419" t="s">
        <v>211</v>
      </c>
      <c r="I419" t="s">
        <v>26</v>
      </c>
      <c r="J419">
        <v>0.85</v>
      </c>
      <c r="K419">
        <v>-0.16829035339063991</v>
      </c>
      <c r="L419">
        <v>-1.8290353390639891E-2</v>
      </c>
    </row>
    <row r="420" spans="1:13" x14ac:dyDescent="0.3">
      <c r="A420" s="1">
        <v>335110</v>
      </c>
      <c r="B420" s="4">
        <v>44784</v>
      </c>
      <c r="C420">
        <v>1890</v>
      </c>
      <c r="D420">
        <v>1890</v>
      </c>
      <c r="E420">
        <v>1684</v>
      </c>
      <c r="F420">
        <v>1685</v>
      </c>
      <c r="G420">
        <v>12733</v>
      </c>
      <c r="H420" t="s">
        <v>212</v>
      </c>
      <c r="I420" t="s">
        <v>26</v>
      </c>
      <c r="J420">
        <v>0.85</v>
      </c>
      <c r="K420">
        <v>-0.16687268232385671</v>
      </c>
      <c r="L420">
        <v>-1.6872682323856639E-2</v>
      </c>
    </row>
    <row r="421" spans="1:13" x14ac:dyDescent="0.3">
      <c r="A421" s="1">
        <v>335401</v>
      </c>
      <c r="B421" s="4">
        <v>45222</v>
      </c>
      <c r="C421">
        <v>5190</v>
      </c>
      <c r="D421">
        <v>5190</v>
      </c>
      <c r="E421">
        <v>4327.5</v>
      </c>
      <c r="F421">
        <v>4388.5</v>
      </c>
      <c r="G421">
        <v>10819</v>
      </c>
      <c r="H421" t="s">
        <v>212</v>
      </c>
      <c r="I421" t="s">
        <v>26</v>
      </c>
      <c r="J421">
        <v>0.85</v>
      </c>
      <c r="K421">
        <v>-0.15904953530708049</v>
      </c>
      <c r="L421">
        <v>-9.0495353070805251E-3</v>
      </c>
    </row>
    <row r="422" spans="1:13" x14ac:dyDescent="0.3">
      <c r="A422" s="1">
        <v>337185</v>
      </c>
      <c r="B422" s="4">
        <v>43689</v>
      </c>
      <c r="C422">
        <v>39</v>
      </c>
      <c r="D422">
        <v>45</v>
      </c>
      <c r="E422">
        <v>34.5</v>
      </c>
      <c r="F422">
        <v>35</v>
      </c>
      <c r="G422">
        <v>7350301</v>
      </c>
      <c r="H422" t="s">
        <v>213</v>
      </c>
      <c r="I422" t="s">
        <v>12</v>
      </c>
      <c r="J422">
        <v>0.8</v>
      </c>
      <c r="K422">
        <v>-0.44881889763779531</v>
      </c>
      <c r="L422">
        <v>-0.2488188976377953</v>
      </c>
    </row>
    <row r="423" spans="1:13" x14ac:dyDescent="0.3">
      <c r="A423" s="1">
        <v>338367</v>
      </c>
      <c r="B423" s="4">
        <v>44818</v>
      </c>
      <c r="C423">
        <v>1013.5</v>
      </c>
      <c r="D423">
        <v>1038</v>
      </c>
      <c r="E423">
        <v>1013.5</v>
      </c>
      <c r="F423">
        <v>1038</v>
      </c>
      <c r="G423">
        <v>211</v>
      </c>
      <c r="H423" t="s">
        <v>214</v>
      </c>
      <c r="I423" t="s">
        <v>26</v>
      </c>
      <c r="J423">
        <v>0.85</v>
      </c>
      <c r="K423">
        <v>-0.66526926797807162</v>
      </c>
      <c r="L423">
        <v>-0.5152692679780716</v>
      </c>
      <c r="M423" t="s">
        <v>329</v>
      </c>
    </row>
    <row r="424" spans="1:13" x14ac:dyDescent="0.3">
      <c r="A424" s="1">
        <v>338713</v>
      </c>
      <c r="B424" s="4">
        <v>45343</v>
      </c>
      <c r="C424">
        <v>7914</v>
      </c>
      <c r="D424">
        <v>7914</v>
      </c>
      <c r="E424">
        <v>5850</v>
      </c>
      <c r="F424">
        <v>5863</v>
      </c>
      <c r="G424">
        <v>22781</v>
      </c>
      <c r="H424" t="s">
        <v>214</v>
      </c>
      <c r="I424" t="s">
        <v>26</v>
      </c>
      <c r="J424">
        <v>0.85</v>
      </c>
      <c r="K424">
        <v>-0.29620070824080191</v>
      </c>
      <c r="L424">
        <v>-0.14620070824080189</v>
      </c>
    </row>
    <row r="425" spans="1:13" x14ac:dyDescent="0.3">
      <c r="A425" s="1">
        <v>340677</v>
      </c>
      <c r="B425" s="4">
        <v>44291</v>
      </c>
      <c r="C425">
        <v>4000.5</v>
      </c>
      <c r="D425">
        <v>4000.5</v>
      </c>
      <c r="E425">
        <v>4000.5</v>
      </c>
      <c r="F425">
        <v>4000.5</v>
      </c>
      <c r="G425">
        <v>2370</v>
      </c>
      <c r="H425" t="s">
        <v>215</v>
      </c>
      <c r="I425" t="s">
        <v>15</v>
      </c>
      <c r="J425">
        <v>0.8</v>
      </c>
      <c r="K425">
        <v>-0.23799999999999999</v>
      </c>
      <c r="L425">
        <v>-3.8000000000000027E-2</v>
      </c>
    </row>
    <row r="426" spans="1:13" x14ac:dyDescent="0.3">
      <c r="A426" s="1">
        <v>342204</v>
      </c>
      <c r="B426" s="4">
        <v>43579</v>
      </c>
      <c r="C426">
        <v>300</v>
      </c>
      <c r="D426">
        <v>300</v>
      </c>
      <c r="E426">
        <v>240</v>
      </c>
      <c r="F426">
        <v>267</v>
      </c>
      <c r="G426">
        <v>89349</v>
      </c>
      <c r="H426" t="s">
        <v>216</v>
      </c>
      <c r="I426" t="s">
        <v>12</v>
      </c>
      <c r="J426">
        <v>0.9</v>
      </c>
      <c r="K426">
        <v>-0.11</v>
      </c>
      <c r="L426">
        <v>-1.0000000000000011E-2</v>
      </c>
    </row>
    <row r="427" spans="1:13" x14ac:dyDescent="0.3">
      <c r="A427" s="1">
        <v>342211</v>
      </c>
      <c r="B427" s="4">
        <v>43591</v>
      </c>
      <c r="C427">
        <v>277</v>
      </c>
      <c r="D427">
        <v>277</v>
      </c>
      <c r="E427">
        <v>277</v>
      </c>
      <c r="F427">
        <v>277</v>
      </c>
      <c r="G427">
        <v>6000</v>
      </c>
      <c r="H427" t="s">
        <v>216</v>
      </c>
      <c r="I427" t="s">
        <v>12</v>
      </c>
      <c r="J427">
        <v>0.9</v>
      </c>
      <c r="K427">
        <v>-0.27201051248357422</v>
      </c>
      <c r="L427">
        <v>-0.17201051248357421</v>
      </c>
    </row>
    <row r="428" spans="1:13" x14ac:dyDescent="0.3">
      <c r="A428" s="1">
        <v>342272</v>
      </c>
      <c r="B428" s="4">
        <v>43689</v>
      </c>
      <c r="C428">
        <v>280</v>
      </c>
      <c r="D428">
        <v>280</v>
      </c>
      <c r="E428">
        <v>250</v>
      </c>
      <c r="F428">
        <v>250</v>
      </c>
      <c r="G428">
        <v>11465</v>
      </c>
      <c r="H428" t="s">
        <v>216</v>
      </c>
      <c r="I428" t="s">
        <v>12</v>
      </c>
      <c r="J428">
        <v>0.9</v>
      </c>
      <c r="K428">
        <v>-0.2307692307692307</v>
      </c>
      <c r="L428">
        <v>-0.13076923076923069</v>
      </c>
    </row>
    <row r="429" spans="1:13" x14ac:dyDescent="0.3">
      <c r="A429" s="1">
        <v>342275</v>
      </c>
      <c r="B429" s="4">
        <v>43693</v>
      </c>
      <c r="C429">
        <v>214.5</v>
      </c>
      <c r="D429">
        <v>252</v>
      </c>
      <c r="E429">
        <v>214.5</v>
      </c>
      <c r="F429">
        <v>250</v>
      </c>
      <c r="G429">
        <v>253060</v>
      </c>
      <c r="H429" t="s">
        <v>216</v>
      </c>
      <c r="I429" t="s">
        <v>12</v>
      </c>
      <c r="J429">
        <v>0.9</v>
      </c>
      <c r="K429">
        <v>-0.18145504551109951</v>
      </c>
      <c r="L429">
        <v>-8.14550455110995E-2</v>
      </c>
    </row>
    <row r="430" spans="1:13" x14ac:dyDescent="0.3">
      <c r="A430" s="1">
        <v>342281</v>
      </c>
      <c r="B430" s="4">
        <v>43704</v>
      </c>
      <c r="C430">
        <v>260</v>
      </c>
      <c r="D430">
        <v>260</v>
      </c>
      <c r="E430">
        <v>255</v>
      </c>
      <c r="F430">
        <v>255</v>
      </c>
      <c r="G430">
        <v>104142</v>
      </c>
      <c r="H430" t="s">
        <v>216</v>
      </c>
      <c r="I430" t="s">
        <v>12</v>
      </c>
      <c r="J430">
        <v>0.9</v>
      </c>
      <c r="K430">
        <v>-0.16508414642132149</v>
      </c>
      <c r="L430">
        <v>-6.5084146421321543E-2</v>
      </c>
    </row>
    <row r="431" spans="1:13" x14ac:dyDescent="0.3">
      <c r="A431" s="1">
        <v>342411</v>
      </c>
      <c r="B431" s="4">
        <v>43934</v>
      </c>
      <c r="C431">
        <v>425</v>
      </c>
      <c r="D431">
        <v>425</v>
      </c>
      <c r="E431">
        <v>414</v>
      </c>
      <c r="F431">
        <v>414</v>
      </c>
      <c r="G431">
        <v>35182</v>
      </c>
      <c r="H431" t="s">
        <v>216</v>
      </c>
      <c r="I431" t="s">
        <v>12</v>
      </c>
      <c r="J431">
        <v>0.9</v>
      </c>
      <c r="K431">
        <v>-0.26919682259488092</v>
      </c>
      <c r="L431">
        <v>-0.16919682259488089</v>
      </c>
    </row>
    <row r="432" spans="1:13" x14ac:dyDescent="0.3">
      <c r="A432" s="1">
        <v>343741</v>
      </c>
      <c r="B432" s="4">
        <v>41806</v>
      </c>
      <c r="C432">
        <v>440</v>
      </c>
      <c r="D432">
        <v>450</v>
      </c>
      <c r="E432">
        <v>430</v>
      </c>
      <c r="F432">
        <v>430</v>
      </c>
      <c r="G432">
        <v>637931</v>
      </c>
      <c r="H432" t="s">
        <v>217</v>
      </c>
      <c r="I432" t="s">
        <v>12</v>
      </c>
      <c r="J432">
        <v>0.9</v>
      </c>
      <c r="K432">
        <v>-0.1313131313131313</v>
      </c>
      <c r="L432">
        <v>-3.1313131313131293E-2</v>
      </c>
    </row>
    <row r="433" spans="1:13" x14ac:dyDescent="0.3">
      <c r="A433" s="1">
        <v>345112</v>
      </c>
      <c r="B433" s="4">
        <v>43929</v>
      </c>
      <c r="C433">
        <v>2735</v>
      </c>
      <c r="D433">
        <v>2822</v>
      </c>
      <c r="E433">
        <v>2690</v>
      </c>
      <c r="F433">
        <v>2370</v>
      </c>
      <c r="G433">
        <v>302809</v>
      </c>
      <c r="H433" t="s">
        <v>217</v>
      </c>
      <c r="I433" t="s">
        <v>12</v>
      </c>
      <c r="J433">
        <v>0.9</v>
      </c>
      <c r="K433">
        <v>-0.1505376344086021</v>
      </c>
      <c r="L433">
        <v>-5.053763440860215E-2</v>
      </c>
    </row>
    <row r="434" spans="1:13" x14ac:dyDescent="0.3">
      <c r="A434" s="1">
        <v>345201</v>
      </c>
      <c r="B434" s="4">
        <v>44067</v>
      </c>
      <c r="C434">
        <v>5425</v>
      </c>
      <c r="D434">
        <v>5425</v>
      </c>
      <c r="E434">
        <v>5058</v>
      </c>
      <c r="F434">
        <v>5058</v>
      </c>
      <c r="G434">
        <v>46681</v>
      </c>
      <c r="H434" t="s">
        <v>217</v>
      </c>
      <c r="I434" t="s">
        <v>12</v>
      </c>
      <c r="J434">
        <v>0.9</v>
      </c>
      <c r="K434">
        <v>-0.1126315789473684</v>
      </c>
      <c r="L434">
        <v>-1.263157894736844E-2</v>
      </c>
    </row>
    <row r="435" spans="1:13" x14ac:dyDescent="0.3">
      <c r="A435" s="1">
        <v>345243</v>
      </c>
      <c r="B435" s="4">
        <v>41333</v>
      </c>
      <c r="C435">
        <v>5.65</v>
      </c>
      <c r="D435">
        <v>5.65</v>
      </c>
      <c r="E435">
        <v>5.65</v>
      </c>
      <c r="F435">
        <v>5.65</v>
      </c>
      <c r="G435">
        <v>9514</v>
      </c>
      <c r="H435" t="s">
        <v>218</v>
      </c>
      <c r="I435" t="s">
        <v>219</v>
      </c>
      <c r="J435">
        <v>0.4</v>
      </c>
      <c r="K435">
        <v>-0.90258620689655178</v>
      </c>
      <c r="L435">
        <v>-0.3025862068965518</v>
      </c>
      <c r="M435" t="s">
        <v>329</v>
      </c>
    </row>
    <row r="436" spans="1:13" x14ac:dyDescent="0.3">
      <c r="A436" s="1">
        <v>350365</v>
      </c>
      <c r="B436" s="4">
        <v>43537</v>
      </c>
      <c r="C436">
        <v>2230</v>
      </c>
      <c r="D436">
        <v>2240</v>
      </c>
      <c r="E436">
        <v>2230</v>
      </c>
      <c r="F436">
        <v>985</v>
      </c>
      <c r="G436">
        <v>44650</v>
      </c>
      <c r="H436" t="s">
        <v>220</v>
      </c>
      <c r="I436" t="s">
        <v>65</v>
      </c>
      <c r="J436">
        <v>0.7</v>
      </c>
      <c r="K436">
        <v>-0.55227272727272725</v>
      </c>
      <c r="L436">
        <v>-0.2522727272727272</v>
      </c>
      <c r="M436" t="s">
        <v>332</v>
      </c>
    </row>
    <row r="437" spans="1:13" x14ac:dyDescent="0.3">
      <c r="A437" s="1">
        <v>350403</v>
      </c>
      <c r="B437" s="4">
        <v>43692</v>
      </c>
      <c r="C437">
        <v>2400</v>
      </c>
      <c r="D437">
        <v>2400.5</v>
      </c>
      <c r="E437">
        <v>2400</v>
      </c>
      <c r="F437">
        <v>985</v>
      </c>
      <c r="G437">
        <v>2000</v>
      </c>
      <c r="H437" t="s">
        <v>220</v>
      </c>
      <c r="I437" t="s">
        <v>65</v>
      </c>
      <c r="J437">
        <v>0.7</v>
      </c>
      <c r="K437">
        <v>-0.58958333333333335</v>
      </c>
      <c r="L437">
        <v>-0.2895833333333333</v>
      </c>
      <c r="M437" t="s">
        <v>332</v>
      </c>
    </row>
    <row r="438" spans="1:13" x14ac:dyDescent="0.3">
      <c r="A438" s="1">
        <v>350405</v>
      </c>
      <c r="B438" s="4">
        <v>43698</v>
      </c>
      <c r="C438">
        <v>2360</v>
      </c>
      <c r="D438">
        <v>2360</v>
      </c>
      <c r="E438">
        <v>2360</v>
      </c>
      <c r="F438">
        <v>985</v>
      </c>
      <c r="G438">
        <v>5067</v>
      </c>
      <c r="H438" t="s">
        <v>220</v>
      </c>
      <c r="I438" t="s">
        <v>65</v>
      </c>
      <c r="J438">
        <v>0.7</v>
      </c>
      <c r="K438">
        <v>-0.59795918367346945</v>
      </c>
      <c r="L438">
        <v>-0.29795918367346941</v>
      </c>
      <c r="M438" t="s">
        <v>332</v>
      </c>
    </row>
    <row r="439" spans="1:13" x14ac:dyDescent="0.3">
      <c r="A439" s="1">
        <v>351869</v>
      </c>
      <c r="B439" s="4">
        <v>45209</v>
      </c>
      <c r="C439">
        <v>75.099999999999994</v>
      </c>
      <c r="D439">
        <v>79.900000000000006</v>
      </c>
      <c r="E439">
        <v>71.599999999999994</v>
      </c>
      <c r="F439">
        <v>79</v>
      </c>
      <c r="G439">
        <v>144358000</v>
      </c>
      <c r="H439" t="s">
        <v>221</v>
      </c>
      <c r="I439" t="s">
        <v>25</v>
      </c>
      <c r="J439">
        <v>0.85</v>
      </c>
      <c r="K439">
        <v>-0.22549019607843129</v>
      </c>
      <c r="L439">
        <v>-7.5490196078431326E-2</v>
      </c>
      <c r="M439" t="s">
        <v>330</v>
      </c>
    </row>
    <row r="440" spans="1:13" x14ac:dyDescent="0.3">
      <c r="A440" s="1">
        <v>351927</v>
      </c>
      <c r="B440" s="4">
        <v>45301</v>
      </c>
      <c r="C440">
        <v>94.9</v>
      </c>
      <c r="D440">
        <v>97</v>
      </c>
      <c r="E440">
        <v>94</v>
      </c>
      <c r="F440">
        <v>95.39</v>
      </c>
      <c r="G440">
        <v>186194000</v>
      </c>
      <c r="H440" t="s">
        <v>221</v>
      </c>
      <c r="I440" t="s">
        <v>25</v>
      </c>
      <c r="J440">
        <v>0.85</v>
      </c>
      <c r="K440">
        <v>-0.2359631557869443</v>
      </c>
      <c r="L440">
        <v>-8.5963155786944245E-2</v>
      </c>
      <c r="M440" t="s">
        <v>330</v>
      </c>
    </row>
    <row r="441" spans="1:13" x14ac:dyDescent="0.3">
      <c r="A441" s="1">
        <v>352018</v>
      </c>
      <c r="B441" s="4">
        <v>43277</v>
      </c>
      <c r="C441">
        <v>65.33</v>
      </c>
      <c r="D441">
        <v>65.47</v>
      </c>
      <c r="E441">
        <v>65.33</v>
      </c>
      <c r="F441">
        <v>65.47</v>
      </c>
      <c r="G441">
        <v>2000000</v>
      </c>
      <c r="H441" t="s">
        <v>222</v>
      </c>
      <c r="I441" t="s">
        <v>36</v>
      </c>
      <c r="J441">
        <v>0.7</v>
      </c>
      <c r="K441">
        <v>-0.38001893939393938</v>
      </c>
      <c r="L441">
        <v>-8.0018939393939337E-2</v>
      </c>
    </row>
    <row r="442" spans="1:13" x14ac:dyDescent="0.3">
      <c r="A442" s="1">
        <v>352593</v>
      </c>
      <c r="B442" s="4">
        <v>44109</v>
      </c>
      <c r="C442">
        <v>3900</v>
      </c>
      <c r="D442">
        <v>3900</v>
      </c>
      <c r="E442">
        <v>3900</v>
      </c>
      <c r="F442">
        <v>3900</v>
      </c>
      <c r="G442">
        <v>7000</v>
      </c>
      <c r="H442" t="s">
        <v>223</v>
      </c>
      <c r="I442" t="s">
        <v>15</v>
      </c>
      <c r="J442">
        <v>0.8</v>
      </c>
      <c r="K442">
        <v>-0.26415094339622652</v>
      </c>
      <c r="L442">
        <v>-6.4150943396226512E-2</v>
      </c>
    </row>
    <row r="443" spans="1:13" x14ac:dyDescent="0.3">
      <c r="A443" s="1">
        <v>353405</v>
      </c>
      <c r="B443" s="4">
        <v>43760</v>
      </c>
      <c r="C443">
        <v>2791</v>
      </c>
      <c r="D443">
        <v>2791</v>
      </c>
      <c r="E443">
        <v>2791</v>
      </c>
      <c r="F443">
        <v>2791</v>
      </c>
      <c r="G443">
        <v>620000</v>
      </c>
      <c r="H443" t="s">
        <v>224</v>
      </c>
      <c r="I443" t="s">
        <v>15</v>
      </c>
      <c r="J443">
        <v>0.8</v>
      </c>
      <c r="K443">
        <v>-0.2610733102115379</v>
      </c>
      <c r="L443">
        <v>-6.1073310211537953E-2</v>
      </c>
    </row>
    <row r="444" spans="1:13" x14ac:dyDescent="0.3">
      <c r="A444" s="1">
        <v>353509</v>
      </c>
      <c r="B444" s="4">
        <v>43899</v>
      </c>
      <c r="C444">
        <v>709</v>
      </c>
      <c r="D444">
        <v>709</v>
      </c>
      <c r="E444">
        <v>598</v>
      </c>
      <c r="F444">
        <v>602.5</v>
      </c>
      <c r="G444">
        <v>371906</v>
      </c>
      <c r="H444" t="s">
        <v>225</v>
      </c>
      <c r="I444" t="s">
        <v>25</v>
      </c>
      <c r="J444">
        <v>0.8</v>
      </c>
      <c r="K444">
        <v>-0.29901105293775448</v>
      </c>
      <c r="L444">
        <v>-9.9011052937754584E-2</v>
      </c>
    </row>
    <row r="445" spans="1:13" x14ac:dyDescent="0.3">
      <c r="A445" s="1">
        <v>353516</v>
      </c>
      <c r="B445" s="4">
        <v>43908</v>
      </c>
      <c r="C445">
        <v>444</v>
      </c>
      <c r="D445">
        <v>444</v>
      </c>
      <c r="E445">
        <v>362</v>
      </c>
      <c r="F445">
        <v>375.5</v>
      </c>
      <c r="G445">
        <v>171277</v>
      </c>
      <c r="H445" t="s">
        <v>225</v>
      </c>
      <c r="I445" t="s">
        <v>25</v>
      </c>
      <c r="J445">
        <v>0.8</v>
      </c>
      <c r="K445">
        <v>-0.2036055143160127</v>
      </c>
      <c r="L445">
        <v>-3.6055143160127479E-3</v>
      </c>
    </row>
    <row r="446" spans="1:13" x14ac:dyDescent="0.3">
      <c r="A446" s="1">
        <v>353737</v>
      </c>
      <c r="B446" s="4">
        <v>44249</v>
      </c>
      <c r="C446">
        <v>1185</v>
      </c>
      <c r="D446">
        <v>1185</v>
      </c>
      <c r="E446">
        <v>1100</v>
      </c>
      <c r="F446">
        <v>1147.5</v>
      </c>
      <c r="G446">
        <v>513732</v>
      </c>
      <c r="H446" t="s">
        <v>225</v>
      </c>
      <c r="I446" t="s">
        <v>25</v>
      </c>
      <c r="J446">
        <v>0.8</v>
      </c>
      <c r="K446">
        <v>-0.21161113019580899</v>
      </c>
      <c r="L446">
        <v>-1.1611130195809061E-2</v>
      </c>
    </row>
    <row r="447" spans="1:13" x14ac:dyDescent="0.3">
      <c r="A447" s="1">
        <v>354844</v>
      </c>
      <c r="B447" s="4">
        <v>43699</v>
      </c>
      <c r="C447">
        <v>64.5</v>
      </c>
      <c r="D447">
        <v>64.5</v>
      </c>
      <c r="E447">
        <v>64</v>
      </c>
      <c r="F447">
        <v>62.75</v>
      </c>
      <c r="G447">
        <v>40000000</v>
      </c>
      <c r="H447" t="s">
        <v>226</v>
      </c>
      <c r="I447" t="s">
        <v>15</v>
      </c>
      <c r="J447">
        <v>0.8</v>
      </c>
      <c r="K447">
        <v>-0.27372685185185192</v>
      </c>
      <c r="L447">
        <v>-7.3726851851851904E-2</v>
      </c>
    </row>
    <row r="448" spans="1:13" x14ac:dyDescent="0.3">
      <c r="A448" s="1">
        <v>354856</v>
      </c>
      <c r="B448" s="4">
        <v>43719</v>
      </c>
      <c r="C448">
        <v>34</v>
      </c>
      <c r="D448">
        <v>34</v>
      </c>
      <c r="E448">
        <v>33</v>
      </c>
      <c r="F448">
        <v>33</v>
      </c>
      <c r="G448">
        <v>3060000</v>
      </c>
      <c r="H448" t="s">
        <v>226</v>
      </c>
      <c r="I448" t="s">
        <v>15</v>
      </c>
      <c r="J448">
        <v>0.8</v>
      </c>
      <c r="K448">
        <v>-0.47410358565737049</v>
      </c>
      <c r="L448">
        <v>-0.27410358565737059</v>
      </c>
      <c r="M448" t="s">
        <v>332</v>
      </c>
    </row>
    <row r="449" spans="1:13" x14ac:dyDescent="0.3">
      <c r="A449" s="1">
        <v>354909</v>
      </c>
      <c r="B449" s="4">
        <v>43797</v>
      </c>
      <c r="C449">
        <v>34</v>
      </c>
      <c r="D449">
        <v>34</v>
      </c>
      <c r="E449">
        <v>34</v>
      </c>
      <c r="F449">
        <v>34</v>
      </c>
      <c r="G449">
        <v>29000</v>
      </c>
      <c r="H449" t="s">
        <v>226</v>
      </c>
      <c r="I449" t="s">
        <v>15</v>
      </c>
      <c r="J449">
        <v>0.8</v>
      </c>
      <c r="K449">
        <v>-0.29018789144050111</v>
      </c>
      <c r="L449">
        <v>-9.01878914405011E-2</v>
      </c>
      <c r="M449" t="s">
        <v>330</v>
      </c>
    </row>
    <row r="450" spans="1:13" x14ac:dyDescent="0.3">
      <c r="A450" s="1">
        <v>355562</v>
      </c>
      <c r="B450" s="4">
        <v>44887</v>
      </c>
      <c r="C450">
        <v>91</v>
      </c>
      <c r="D450">
        <v>91</v>
      </c>
      <c r="E450">
        <v>85</v>
      </c>
      <c r="F450">
        <v>85</v>
      </c>
      <c r="G450">
        <v>111000</v>
      </c>
      <c r="H450" t="s">
        <v>227</v>
      </c>
      <c r="I450" t="s">
        <v>12</v>
      </c>
      <c r="J450">
        <v>0.8</v>
      </c>
      <c r="K450">
        <v>-0.22374429223744299</v>
      </c>
      <c r="L450">
        <v>-2.374429223744301E-2</v>
      </c>
      <c r="M450" t="s">
        <v>330</v>
      </c>
    </row>
    <row r="451" spans="1:13" x14ac:dyDescent="0.3">
      <c r="A451" s="1">
        <v>355796</v>
      </c>
      <c r="B451" s="4">
        <v>45244</v>
      </c>
      <c r="C451">
        <v>91.5</v>
      </c>
      <c r="D451">
        <v>93</v>
      </c>
      <c r="E451">
        <v>89</v>
      </c>
      <c r="F451">
        <v>91.19</v>
      </c>
      <c r="G451">
        <v>21150198</v>
      </c>
      <c r="H451" t="s">
        <v>227</v>
      </c>
      <c r="I451" t="s">
        <v>12</v>
      </c>
      <c r="J451">
        <v>0.8</v>
      </c>
      <c r="K451">
        <v>-0.25559183673469388</v>
      </c>
      <c r="L451">
        <v>-5.5591836734693922E-2</v>
      </c>
      <c r="M451" t="s">
        <v>330</v>
      </c>
    </row>
    <row r="452" spans="1:13" x14ac:dyDescent="0.3">
      <c r="A452" s="1">
        <v>355855</v>
      </c>
      <c r="B452" s="4">
        <v>45336</v>
      </c>
      <c r="C452">
        <v>101.5</v>
      </c>
      <c r="D452">
        <v>103.9</v>
      </c>
      <c r="E452">
        <v>97</v>
      </c>
      <c r="F452">
        <v>98</v>
      </c>
      <c r="G452">
        <v>16106543</v>
      </c>
      <c r="H452" t="s">
        <v>227</v>
      </c>
      <c r="I452" t="s">
        <v>12</v>
      </c>
      <c r="J452">
        <v>0.8</v>
      </c>
      <c r="K452">
        <v>-0.25757575757575762</v>
      </c>
      <c r="L452">
        <v>-5.7575757575757613E-2</v>
      </c>
      <c r="M452" t="s">
        <v>330</v>
      </c>
    </row>
    <row r="453" spans="1:13" x14ac:dyDescent="0.3">
      <c r="A453" s="1">
        <v>355914</v>
      </c>
      <c r="B453" s="4">
        <v>44323</v>
      </c>
      <c r="C453">
        <v>5142</v>
      </c>
      <c r="D453">
        <v>5220</v>
      </c>
      <c r="E453">
        <v>5055</v>
      </c>
      <c r="F453">
        <v>2.8980000000000001</v>
      </c>
      <c r="G453">
        <v>137</v>
      </c>
      <c r="H453" t="s">
        <v>228</v>
      </c>
      <c r="I453" t="s">
        <v>26</v>
      </c>
      <c r="J453">
        <v>0.85</v>
      </c>
      <c r="K453">
        <v>-0.98083333333333333</v>
      </c>
      <c r="L453">
        <v>-0.83083333333333331</v>
      </c>
      <c r="M453" t="s">
        <v>332</v>
      </c>
    </row>
    <row r="454" spans="1:13" x14ac:dyDescent="0.3">
      <c r="A454" s="1">
        <v>356191</v>
      </c>
      <c r="B454" s="4">
        <v>44965</v>
      </c>
      <c r="C454">
        <v>8951</v>
      </c>
      <c r="D454">
        <v>8951</v>
      </c>
      <c r="E454">
        <v>8769</v>
      </c>
      <c r="F454">
        <v>8769</v>
      </c>
      <c r="G454">
        <v>1154</v>
      </c>
      <c r="H454" t="s">
        <v>228</v>
      </c>
      <c r="I454" t="s">
        <v>26</v>
      </c>
      <c r="J454">
        <v>0.85</v>
      </c>
      <c r="K454">
        <v>-0.34547490203396158</v>
      </c>
      <c r="L454">
        <v>-0.19547490203396159</v>
      </c>
      <c r="M454" t="s">
        <v>329</v>
      </c>
    </row>
    <row r="455" spans="1:13" x14ac:dyDescent="0.3">
      <c r="A455" s="1">
        <v>356457</v>
      </c>
      <c r="B455" s="4">
        <v>41449</v>
      </c>
      <c r="C455">
        <v>320.75</v>
      </c>
      <c r="D455">
        <v>320.75</v>
      </c>
      <c r="E455">
        <v>320.75</v>
      </c>
      <c r="F455">
        <v>320.75</v>
      </c>
      <c r="G455">
        <v>1200</v>
      </c>
      <c r="H455" t="s">
        <v>229</v>
      </c>
      <c r="I455" t="s">
        <v>26</v>
      </c>
      <c r="J455">
        <v>0.85</v>
      </c>
      <c r="K455">
        <v>-0.15968037725962789</v>
      </c>
      <c r="L455">
        <v>-9.6803772596278925E-3</v>
      </c>
      <c r="M455" t="s">
        <v>331</v>
      </c>
    </row>
    <row r="456" spans="1:13" x14ac:dyDescent="0.3">
      <c r="A456" s="1">
        <v>356684</v>
      </c>
      <c r="B456" s="6">
        <v>44126</v>
      </c>
      <c r="C456" s="7">
        <v>4228.5</v>
      </c>
      <c r="D456" s="7">
        <v>4268</v>
      </c>
      <c r="E456" s="7">
        <v>4213</v>
      </c>
      <c r="F456" s="7">
        <v>4250.5</v>
      </c>
      <c r="G456" s="7">
        <v>1214</v>
      </c>
      <c r="H456" s="7" t="s">
        <v>229</v>
      </c>
      <c r="I456" s="7" t="s">
        <v>26</v>
      </c>
      <c r="J456" s="7">
        <v>0.85</v>
      </c>
      <c r="K456" s="7">
        <v>-0.66181326331702273</v>
      </c>
      <c r="L456" s="7">
        <v>-0.5118132633170227</v>
      </c>
      <c r="M456" s="7" t="s">
        <v>329</v>
      </c>
    </row>
    <row r="457" spans="1:13" x14ac:dyDescent="0.3">
      <c r="A457" s="1">
        <v>357461</v>
      </c>
      <c r="B457" s="6">
        <v>45315</v>
      </c>
      <c r="C457" s="7">
        <v>12200</v>
      </c>
      <c r="D457" s="7">
        <v>12200</v>
      </c>
      <c r="E457" s="7">
        <v>11575.5</v>
      </c>
      <c r="F457" s="7">
        <v>12064.5</v>
      </c>
      <c r="G457" s="7">
        <v>5770</v>
      </c>
      <c r="H457" s="7" t="s">
        <v>229</v>
      </c>
      <c r="I457" s="7" t="s">
        <v>26</v>
      </c>
      <c r="J457" s="7">
        <v>0.85</v>
      </c>
      <c r="K457" s="7">
        <v>-0.66507502463806345</v>
      </c>
      <c r="L457" s="7">
        <v>-0.51507502463806343</v>
      </c>
      <c r="M457" s="7" t="s">
        <v>329</v>
      </c>
    </row>
    <row r="458" spans="1:13" x14ac:dyDescent="0.3">
      <c r="A458" s="1">
        <v>361339</v>
      </c>
      <c r="B458" s="6">
        <v>45315</v>
      </c>
      <c r="C458" s="7">
        <v>9200</v>
      </c>
      <c r="D458" s="7">
        <v>9454</v>
      </c>
      <c r="E458" s="7">
        <v>9025</v>
      </c>
      <c r="F458" s="7">
        <v>9307.5</v>
      </c>
      <c r="G458" s="7">
        <v>8031</v>
      </c>
      <c r="H458" s="7" t="s">
        <v>230</v>
      </c>
      <c r="I458" s="7" t="s">
        <v>26</v>
      </c>
      <c r="J458" s="7">
        <v>0.85</v>
      </c>
      <c r="K458" s="7">
        <v>-0.4905582922824302</v>
      </c>
      <c r="L458" s="7">
        <v>-0.34055829228243018</v>
      </c>
      <c r="M458" s="7" t="s">
        <v>329</v>
      </c>
    </row>
    <row r="459" spans="1:13" x14ac:dyDescent="0.3">
      <c r="A459" s="1">
        <v>362727</v>
      </c>
      <c r="B459" s="6">
        <v>45315</v>
      </c>
      <c r="C459" s="7">
        <v>13300</v>
      </c>
      <c r="D459" s="7">
        <v>13304.5</v>
      </c>
      <c r="E459" s="7">
        <v>13000</v>
      </c>
      <c r="F459" s="7">
        <v>13230</v>
      </c>
      <c r="G459" s="7">
        <v>2708</v>
      </c>
      <c r="H459" s="7" t="s">
        <v>231</v>
      </c>
      <c r="I459" s="7" t="s">
        <v>26</v>
      </c>
      <c r="J459" s="7">
        <v>0.85</v>
      </c>
      <c r="K459" s="7">
        <v>-0.66725770551175168</v>
      </c>
      <c r="L459" s="7">
        <v>-0.51725770551175165</v>
      </c>
      <c r="M459" s="7" t="s">
        <v>329</v>
      </c>
    </row>
    <row r="460" spans="1:13" x14ac:dyDescent="0.3">
      <c r="A460" s="1">
        <v>362832</v>
      </c>
      <c r="B460" s="4">
        <v>42013</v>
      </c>
      <c r="C460">
        <v>6.15</v>
      </c>
      <c r="D460">
        <v>6.15</v>
      </c>
      <c r="E460">
        <v>6.15</v>
      </c>
      <c r="F460">
        <v>6.15</v>
      </c>
      <c r="G460">
        <v>1000</v>
      </c>
      <c r="H460" t="s">
        <v>232</v>
      </c>
      <c r="I460" t="s">
        <v>67</v>
      </c>
      <c r="J460">
        <v>0.6</v>
      </c>
      <c r="K460">
        <v>-0.44090909090909092</v>
      </c>
      <c r="L460">
        <v>-4.0909090909090888E-2</v>
      </c>
      <c r="M460" s="7" t="s">
        <v>331</v>
      </c>
    </row>
    <row r="461" spans="1:13" x14ac:dyDescent="0.3">
      <c r="A461" s="1">
        <v>364414</v>
      </c>
      <c r="B461" s="4">
        <v>44573</v>
      </c>
      <c r="C461">
        <v>1382</v>
      </c>
      <c r="D461">
        <v>1430</v>
      </c>
      <c r="E461">
        <v>1369</v>
      </c>
      <c r="F461">
        <v>1386</v>
      </c>
      <c r="G461">
        <v>8965</v>
      </c>
      <c r="H461" t="s">
        <v>233</v>
      </c>
      <c r="I461" t="s">
        <v>26</v>
      </c>
      <c r="J461">
        <v>0.85</v>
      </c>
      <c r="K461">
        <v>-0.15436241610738249</v>
      </c>
      <c r="L461">
        <v>-4.3624161073825274E-3</v>
      </c>
    </row>
    <row r="462" spans="1:13" x14ac:dyDescent="0.3">
      <c r="A462" s="1">
        <v>365751</v>
      </c>
      <c r="B462" s="4">
        <v>45419</v>
      </c>
      <c r="C462">
        <v>8780</v>
      </c>
      <c r="D462">
        <v>8780</v>
      </c>
      <c r="E462">
        <v>7850</v>
      </c>
      <c r="F462">
        <v>7857</v>
      </c>
      <c r="G462">
        <v>13508</v>
      </c>
      <c r="H462" t="s">
        <v>234</v>
      </c>
      <c r="I462" t="s">
        <v>23</v>
      </c>
      <c r="J462">
        <v>0.85</v>
      </c>
      <c r="K462">
        <v>-0.17663086193345559</v>
      </c>
      <c r="L462">
        <v>-2.6630861933455541E-2</v>
      </c>
    </row>
    <row r="463" spans="1:13" x14ac:dyDescent="0.3">
      <c r="A463" s="1">
        <v>366503</v>
      </c>
      <c r="B463" s="4">
        <v>43364</v>
      </c>
      <c r="C463">
        <v>220</v>
      </c>
      <c r="D463">
        <v>220</v>
      </c>
      <c r="E463">
        <v>220</v>
      </c>
      <c r="F463">
        <v>220</v>
      </c>
      <c r="G463">
        <v>4200</v>
      </c>
      <c r="H463" t="s">
        <v>235</v>
      </c>
      <c r="I463" t="s">
        <v>36</v>
      </c>
      <c r="J463">
        <v>0.7</v>
      </c>
      <c r="K463">
        <v>-0.50113378684807253</v>
      </c>
      <c r="L463">
        <v>-0.20113378684807251</v>
      </c>
      <c r="M463" s="7" t="s">
        <v>330</v>
      </c>
    </row>
    <row r="464" spans="1:13" x14ac:dyDescent="0.3">
      <c r="A464" s="1">
        <v>366698</v>
      </c>
      <c r="B464" s="4">
        <v>42786</v>
      </c>
      <c r="C464">
        <v>72.05</v>
      </c>
      <c r="D464">
        <v>72.5</v>
      </c>
      <c r="E464">
        <v>72.03</v>
      </c>
      <c r="F464">
        <v>72.5</v>
      </c>
      <c r="G464">
        <v>1080600</v>
      </c>
      <c r="H464" t="s">
        <v>236</v>
      </c>
      <c r="I464" t="s">
        <v>36</v>
      </c>
      <c r="J464">
        <v>0.7</v>
      </c>
      <c r="K464">
        <v>-0.33668801463860931</v>
      </c>
      <c r="L464">
        <v>-3.6688014638609268E-2</v>
      </c>
      <c r="M464" s="7" t="s">
        <v>330</v>
      </c>
    </row>
    <row r="465" spans="1:13" x14ac:dyDescent="0.3">
      <c r="A465" s="1">
        <v>366773</v>
      </c>
      <c r="B465" s="4">
        <v>42964</v>
      </c>
      <c r="C465">
        <v>49.5</v>
      </c>
      <c r="D465">
        <v>49.5</v>
      </c>
      <c r="E465">
        <v>49.5</v>
      </c>
      <c r="F465">
        <v>49.5</v>
      </c>
      <c r="G465">
        <v>13000</v>
      </c>
      <c r="H465" t="s">
        <v>236</v>
      </c>
      <c r="I465" t="s">
        <v>36</v>
      </c>
      <c r="J465">
        <v>0.7</v>
      </c>
      <c r="K465">
        <v>-0.37853107344632769</v>
      </c>
      <c r="L465">
        <v>-7.8531073446327704E-2</v>
      </c>
      <c r="M465" s="7" t="s">
        <v>330</v>
      </c>
    </row>
    <row r="466" spans="1:13" x14ac:dyDescent="0.3">
      <c r="A466" s="1">
        <v>366814</v>
      </c>
      <c r="B466" s="4">
        <v>43153</v>
      </c>
      <c r="C466">
        <v>24.25</v>
      </c>
      <c r="D466">
        <v>24.25</v>
      </c>
      <c r="E466">
        <v>24.25</v>
      </c>
      <c r="F466">
        <v>24.25</v>
      </c>
      <c r="G466">
        <v>200000</v>
      </c>
      <c r="H466" t="s">
        <v>236</v>
      </c>
      <c r="I466" t="s">
        <v>36</v>
      </c>
      <c r="J466">
        <v>0.7</v>
      </c>
      <c r="K466">
        <v>-0.55092592592592593</v>
      </c>
      <c r="L466">
        <v>-0.25092592592592589</v>
      </c>
      <c r="M466" s="7" t="s">
        <v>330</v>
      </c>
    </row>
    <row r="467" spans="1:13" x14ac:dyDescent="0.3">
      <c r="A467" s="1">
        <v>367063</v>
      </c>
      <c r="B467" s="4">
        <v>43713</v>
      </c>
      <c r="C467">
        <v>53</v>
      </c>
      <c r="D467">
        <v>53</v>
      </c>
      <c r="E467">
        <v>53</v>
      </c>
      <c r="F467">
        <v>53</v>
      </c>
      <c r="G467">
        <v>100000</v>
      </c>
      <c r="H467" t="s">
        <v>237</v>
      </c>
      <c r="I467" t="s">
        <v>15</v>
      </c>
      <c r="J467">
        <v>0.8</v>
      </c>
      <c r="K467">
        <v>-0.39436185165293502</v>
      </c>
      <c r="L467">
        <v>-0.1943618516529351</v>
      </c>
      <c r="M467" s="7" t="s">
        <v>330</v>
      </c>
    </row>
    <row r="468" spans="1:13" x14ac:dyDescent="0.3">
      <c r="A468" s="1">
        <v>367927</v>
      </c>
      <c r="B468" s="4">
        <v>42874</v>
      </c>
      <c r="C468">
        <v>72.5</v>
      </c>
      <c r="D468">
        <v>72.5</v>
      </c>
      <c r="E468">
        <v>72.5</v>
      </c>
      <c r="F468">
        <v>72.5</v>
      </c>
      <c r="G468">
        <v>322000</v>
      </c>
      <c r="H468" t="s">
        <v>238</v>
      </c>
      <c r="I468" t="s">
        <v>36</v>
      </c>
      <c r="J468">
        <v>0.7</v>
      </c>
      <c r="K468">
        <v>-0.31603773584905659</v>
      </c>
      <c r="L468">
        <v>-1.6037735849056541E-2</v>
      </c>
      <c r="M468" s="7" t="s">
        <v>330</v>
      </c>
    </row>
    <row r="469" spans="1:13" x14ac:dyDescent="0.3">
      <c r="A469" s="1">
        <v>367982</v>
      </c>
      <c r="B469" s="4">
        <v>43062</v>
      </c>
      <c r="C469">
        <v>48.55</v>
      </c>
      <c r="D469">
        <v>48.55</v>
      </c>
      <c r="E469">
        <v>47.5</v>
      </c>
      <c r="F469">
        <v>48.5</v>
      </c>
      <c r="G469">
        <v>2036100</v>
      </c>
      <c r="H469" t="s">
        <v>238</v>
      </c>
      <c r="I469" t="s">
        <v>36</v>
      </c>
      <c r="J469">
        <v>0.7</v>
      </c>
      <c r="K469">
        <v>-0.41120769193415241</v>
      </c>
      <c r="L469">
        <v>-0.11120769193415241</v>
      </c>
      <c r="M469" s="7" t="s">
        <v>330</v>
      </c>
    </row>
    <row r="470" spans="1:13" x14ac:dyDescent="0.3">
      <c r="A470" s="1">
        <v>368016</v>
      </c>
      <c r="B470" s="4">
        <v>43272</v>
      </c>
      <c r="C470">
        <v>24.3</v>
      </c>
      <c r="D470">
        <v>24.3</v>
      </c>
      <c r="E470">
        <v>24.3</v>
      </c>
      <c r="F470">
        <v>24.3</v>
      </c>
      <c r="G470">
        <v>9187352</v>
      </c>
      <c r="H470" t="s">
        <v>238</v>
      </c>
      <c r="I470" t="s">
        <v>36</v>
      </c>
      <c r="J470">
        <v>0.7</v>
      </c>
      <c r="K470">
        <v>-0.54150943396226414</v>
      </c>
      <c r="L470">
        <v>-0.2415094339622641</v>
      </c>
      <c r="M470" s="7" t="s">
        <v>330</v>
      </c>
    </row>
    <row r="471" spans="1:13" x14ac:dyDescent="0.3">
      <c r="A471" s="1">
        <v>368781</v>
      </c>
      <c r="B471" s="4">
        <v>43217</v>
      </c>
      <c r="C471">
        <v>245</v>
      </c>
      <c r="D471">
        <v>245</v>
      </c>
      <c r="E471">
        <v>245</v>
      </c>
      <c r="F471">
        <v>245</v>
      </c>
      <c r="G471">
        <v>6000</v>
      </c>
      <c r="H471" t="s">
        <v>239</v>
      </c>
      <c r="I471" t="s">
        <v>65</v>
      </c>
      <c r="J471">
        <v>0.7</v>
      </c>
      <c r="K471">
        <v>-0.31754874651810577</v>
      </c>
      <c r="L471">
        <v>-1.7548746518105781E-2</v>
      </c>
      <c r="M471" s="7" t="s">
        <v>330</v>
      </c>
    </row>
    <row r="472" spans="1:13" x14ac:dyDescent="0.3">
      <c r="A472" s="1">
        <v>368802</v>
      </c>
      <c r="B472" s="4">
        <v>43314</v>
      </c>
      <c r="C472">
        <v>151</v>
      </c>
      <c r="D472">
        <v>165</v>
      </c>
      <c r="E472">
        <v>151</v>
      </c>
      <c r="F472">
        <v>160</v>
      </c>
      <c r="G472">
        <v>330000</v>
      </c>
      <c r="H472" t="s">
        <v>239</v>
      </c>
      <c r="I472" t="s">
        <v>65</v>
      </c>
      <c r="J472">
        <v>0.7</v>
      </c>
      <c r="K472">
        <v>-0.4863563402889246</v>
      </c>
      <c r="L472">
        <v>-0.18635634028892459</v>
      </c>
      <c r="M472" s="7" t="s">
        <v>330</v>
      </c>
    </row>
    <row r="473" spans="1:13" x14ac:dyDescent="0.3">
      <c r="A473" s="1">
        <v>369914</v>
      </c>
      <c r="B473" s="4">
        <v>45163</v>
      </c>
      <c r="C473">
        <v>116.9</v>
      </c>
      <c r="D473">
        <v>116.9</v>
      </c>
      <c r="E473">
        <v>116.65</v>
      </c>
      <c r="F473">
        <v>116.65</v>
      </c>
      <c r="G473">
        <v>50000</v>
      </c>
      <c r="H473" t="s">
        <v>240</v>
      </c>
      <c r="I473" t="s">
        <v>78</v>
      </c>
      <c r="J473">
        <v>0.75</v>
      </c>
      <c r="K473">
        <v>-0.27093749999999989</v>
      </c>
      <c r="L473">
        <v>-2.0937499999999939E-2</v>
      </c>
      <c r="M473" s="7" t="s">
        <v>331</v>
      </c>
    </row>
    <row r="474" spans="1:13" x14ac:dyDescent="0.3">
      <c r="A474" s="1">
        <v>374194</v>
      </c>
      <c r="B474" s="4">
        <v>43704</v>
      </c>
      <c r="C474">
        <v>260</v>
      </c>
      <c r="D474">
        <v>260</v>
      </c>
      <c r="E474">
        <v>242</v>
      </c>
      <c r="F474">
        <v>242.5</v>
      </c>
      <c r="G474">
        <v>240935</v>
      </c>
      <c r="H474" t="s">
        <v>241</v>
      </c>
      <c r="I474" t="s">
        <v>15</v>
      </c>
      <c r="J474">
        <v>0.8</v>
      </c>
      <c r="K474">
        <v>-0.34767989240080699</v>
      </c>
      <c r="L474">
        <v>-0.14767989240080701</v>
      </c>
      <c r="M474" s="7" t="s">
        <v>332</v>
      </c>
    </row>
    <row r="475" spans="1:13" x14ac:dyDescent="0.3">
      <c r="A475" s="1">
        <v>374205</v>
      </c>
      <c r="B475" s="4">
        <v>43719</v>
      </c>
      <c r="C475">
        <v>282</v>
      </c>
      <c r="D475">
        <v>289</v>
      </c>
      <c r="E475">
        <v>278.5</v>
      </c>
      <c r="F475">
        <v>278.5</v>
      </c>
      <c r="G475">
        <v>164280</v>
      </c>
      <c r="H475" t="s">
        <v>241</v>
      </c>
      <c r="I475" t="s">
        <v>15</v>
      </c>
      <c r="J475">
        <v>0.8</v>
      </c>
      <c r="K475">
        <v>-0.25084061869535978</v>
      </c>
      <c r="L475">
        <v>-5.0840618695359829E-2</v>
      </c>
      <c r="M475" s="7" t="s">
        <v>332</v>
      </c>
    </row>
    <row r="476" spans="1:13" x14ac:dyDescent="0.3">
      <c r="A476" s="1">
        <v>375272</v>
      </c>
      <c r="B476" s="4">
        <v>45344</v>
      </c>
      <c r="C476">
        <v>534</v>
      </c>
      <c r="D476">
        <v>534</v>
      </c>
      <c r="E476">
        <v>330.1</v>
      </c>
      <c r="F476">
        <v>336.1</v>
      </c>
      <c r="G476">
        <v>10308349</v>
      </c>
      <c r="H476" t="s">
        <v>241</v>
      </c>
      <c r="I476" t="s">
        <v>39</v>
      </c>
      <c r="J476">
        <v>0.65</v>
      </c>
      <c r="K476">
        <v>-0.3769002595476455</v>
      </c>
      <c r="L476">
        <v>-2.6900259547645518E-2</v>
      </c>
    </row>
    <row r="477" spans="1:13" x14ac:dyDescent="0.3">
      <c r="A477" s="1">
        <v>376802</v>
      </c>
      <c r="B477" s="4">
        <v>43556</v>
      </c>
      <c r="C477">
        <v>158.5</v>
      </c>
      <c r="D477">
        <v>162</v>
      </c>
      <c r="E477">
        <v>158.44999999999999</v>
      </c>
      <c r="F477">
        <v>160</v>
      </c>
      <c r="G477">
        <v>6136988</v>
      </c>
      <c r="H477" t="s">
        <v>242</v>
      </c>
      <c r="I477" t="s">
        <v>12</v>
      </c>
      <c r="J477">
        <v>0.9</v>
      </c>
      <c r="K477">
        <v>-0.1111111111111112</v>
      </c>
      <c r="L477">
        <v>-1.1111111111111179E-2</v>
      </c>
      <c r="M477" s="7" t="s">
        <v>330</v>
      </c>
    </row>
    <row r="478" spans="1:13" x14ac:dyDescent="0.3">
      <c r="A478" s="1">
        <v>376861</v>
      </c>
      <c r="B478" s="4">
        <v>43648</v>
      </c>
      <c r="C478">
        <v>139.5</v>
      </c>
      <c r="D478">
        <v>143.25</v>
      </c>
      <c r="E478">
        <v>139.5</v>
      </c>
      <c r="F478">
        <v>142.6</v>
      </c>
      <c r="G478">
        <v>5818571</v>
      </c>
      <c r="H478" t="s">
        <v>242</v>
      </c>
      <c r="I478" t="s">
        <v>12</v>
      </c>
      <c r="J478">
        <v>0.9</v>
      </c>
      <c r="K478">
        <v>-0.15119047619047621</v>
      </c>
      <c r="L478">
        <v>-5.1190476190476231E-2</v>
      </c>
      <c r="M478" s="7" t="s">
        <v>330</v>
      </c>
    </row>
    <row r="479" spans="1:13" x14ac:dyDescent="0.3">
      <c r="A479" s="1">
        <v>376887</v>
      </c>
      <c r="B479" s="4">
        <v>43689</v>
      </c>
      <c r="C479">
        <v>125</v>
      </c>
      <c r="D479">
        <v>125</v>
      </c>
      <c r="E479">
        <v>90</v>
      </c>
      <c r="F479">
        <v>98</v>
      </c>
      <c r="G479">
        <v>2895732</v>
      </c>
      <c r="H479" t="s">
        <v>242</v>
      </c>
      <c r="I479" t="s">
        <v>12</v>
      </c>
      <c r="J479">
        <v>0.9</v>
      </c>
      <c r="K479">
        <v>-0.3142057382785165</v>
      </c>
      <c r="L479">
        <v>-0.21420573827851649</v>
      </c>
    </row>
    <row r="480" spans="1:13" x14ac:dyDescent="0.3">
      <c r="A480" s="1">
        <v>376891</v>
      </c>
      <c r="B480" s="4">
        <v>43693</v>
      </c>
      <c r="C480">
        <v>105</v>
      </c>
      <c r="D480">
        <v>117</v>
      </c>
      <c r="E480">
        <v>105</v>
      </c>
      <c r="F480">
        <v>109.6</v>
      </c>
      <c r="G480">
        <v>8868891</v>
      </c>
      <c r="H480" t="s">
        <v>242</v>
      </c>
      <c r="I480" t="s">
        <v>12</v>
      </c>
      <c r="J480">
        <v>0.9</v>
      </c>
      <c r="K480">
        <v>-0.23809523809523811</v>
      </c>
      <c r="L480">
        <v>-0.13809523809523819</v>
      </c>
    </row>
    <row r="481" spans="1:13" x14ac:dyDescent="0.3">
      <c r="A481" s="1">
        <v>376896</v>
      </c>
      <c r="B481" s="4">
        <v>43703</v>
      </c>
      <c r="C481">
        <v>101</v>
      </c>
      <c r="D481">
        <v>101</v>
      </c>
      <c r="E481">
        <v>97</v>
      </c>
      <c r="F481">
        <v>99.406999999999996</v>
      </c>
      <c r="G481">
        <v>4000000</v>
      </c>
      <c r="H481" t="s">
        <v>242</v>
      </c>
      <c r="I481" t="s">
        <v>12</v>
      </c>
      <c r="J481">
        <v>0.9</v>
      </c>
      <c r="K481">
        <v>-0.10201445347786819</v>
      </c>
      <c r="L481">
        <v>-2.014453477868217E-3</v>
      </c>
    </row>
    <row r="482" spans="1:13" x14ac:dyDescent="0.3">
      <c r="A482" s="1">
        <v>376897</v>
      </c>
      <c r="B482" s="4">
        <v>43704</v>
      </c>
      <c r="C482">
        <v>97</v>
      </c>
      <c r="D482">
        <v>97</v>
      </c>
      <c r="E482">
        <v>84</v>
      </c>
      <c r="F482">
        <v>84</v>
      </c>
      <c r="G482">
        <v>4564138</v>
      </c>
      <c r="H482" t="s">
        <v>242</v>
      </c>
      <c r="I482" t="s">
        <v>12</v>
      </c>
      <c r="J482">
        <v>0.9</v>
      </c>
      <c r="K482">
        <v>-0.15498908527568481</v>
      </c>
      <c r="L482">
        <v>-5.4989085275684801E-2</v>
      </c>
    </row>
    <row r="483" spans="1:13" x14ac:dyDescent="0.3">
      <c r="A483" s="1">
        <v>376923</v>
      </c>
      <c r="B483" s="4">
        <v>43740</v>
      </c>
      <c r="C483">
        <v>75</v>
      </c>
      <c r="D483">
        <v>78.45</v>
      </c>
      <c r="E483">
        <v>74</v>
      </c>
      <c r="F483">
        <v>76.099999999999994</v>
      </c>
      <c r="G483">
        <v>5622707</v>
      </c>
      <c r="H483" t="s">
        <v>242</v>
      </c>
      <c r="I483" t="s">
        <v>12</v>
      </c>
      <c r="J483">
        <v>0.9</v>
      </c>
      <c r="K483">
        <v>-0.27142173288654869</v>
      </c>
      <c r="L483">
        <v>-0.17142173288654869</v>
      </c>
      <c r="M483" t="s">
        <v>330</v>
      </c>
    </row>
    <row r="484" spans="1:13" x14ac:dyDescent="0.3">
      <c r="A484" s="1">
        <v>376983</v>
      </c>
      <c r="B484" s="4">
        <v>43832</v>
      </c>
      <c r="C484">
        <v>104.4</v>
      </c>
      <c r="D484">
        <v>109.9</v>
      </c>
      <c r="E484">
        <v>102.45</v>
      </c>
      <c r="F484">
        <v>103.45</v>
      </c>
      <c r="G484">
        <v>18596232</v>
      </c>
      <c r="H484" t="s">
        <v>242</v>
      </c>
      <c r="I484" t="s">
        <v>12</v>
      </c>
      <c r="J484">
        <v>0.9</v>
      </c>
      <c r="K484">
        <v>-0.26631205673758862</v>
      </c>
      <c r="L484">
        <v>-0.16631205673758859</v>
      </c>
      <c r="M484" t="s">
        <v>330</v>
      </c>
    </row>
    <row r="485" spans="1:13" x14ac:dyDescent="0.3">
      <c r="A485" s="1">
        <v>377043</v>
      </c>
      <c r="B485" s="4">
        <v>43923</v>
      </c>
      <c r="C485">
        <v>100</v>
      </c>
      <c r="D485">
        <v>100</v>
      </c>
      <c r="E485">
        <v>92</v>
      </c>
      <c r="F485">
        <v>95.55</v>
      </c>
      <c r="G485">
        <v>5044631</v>
      </c>
      <c r="H485" t="s">
        <v>242</v>
      </c>
      <c r="I485" t="s">
        <v>12</v>
      </c>
      <c r="J485">
        <v>0.9</v>
      </c>
      <c r="K485">
        <v>-0.2416666666666667</v>
      </c>
      <c r="L485">
        <v>-0.14166666666666669</v>
      </c>
      <c r="M485" t="s">
        <v>330</v>
      </c>
    </row>
    <row r="486" spans="1:13" x14ac:dyDescent="0.3">
      <c r="A486" s="1">
        <v>377048</v>
      </c>
      <c r="B486" s="4">
        <v>43934</v>
      </c>
      <c r="C486">
        <v>95.5</v>
      </c>
      <c r="D486">
        <v>97</v>
      </c>
      <c r="E486">
        <v>91</v>
      </c>
      <c r="F486">
        <v>94.7</v>
      </c>
      <c r="G486">
        <v>5725314</v>
      </c>
      <c r="H486" t="s">
        <v>242</v>
      </c>
      <c r="I486" t="s">
        <v>12</v>
      </c>
      <c r="J486">
        <v>0.9</v>
      </c>
      <c r="K486">
        <v>-0.16194690265486719</v>
      </c>
      <c r="L486">
        <v>-6.1946902654867242E-2</v>
      </c>
    </row>
    <row r="487" spans="1:13" x14ac:dyDescent="0.3">
      <c r="A487" s="1">
        <v>377102</v>
      </c>
      <c r="B487" s="4">
        <v>44014</v>
      </c>
      <c r="C487">
        <v>118</v>
      </c>
      <c r="D487">
        <v>118</v>
      </c>
      <c r="E487">
        <v>114</v>
      </c>
      <c r="F487">
        <v>117.6</v>
      </c>
      <c r="G487">
        <v>12684134</v>
      </c>
      <c r="H487" t="s">
        <v>242</v>
      </c>
      <c r="I487" t="s">
        <v>12</v>
      </c>
      <c r="J487">
        <v>0.9</v>
      </c>
      <c r="K487">
        <v>-0.16</v>
      </c>
      <c r="L487">
        <v>-6.0000000000000053E-2</v>
      </c>
      <c r="M487" t="s">
        <v>330</v>
      </c>
    </row>
    <row r="488" spans="1:13" x14ac:dyDescent="0.3">
      <c r="A488" s="1">
        <v>377164</v>
      </c>
      <c r="B488" s="4">
        <v>44105</v>
      </c>
      <c r="C488">
        <v>108.7</v>
      </c>
      <c r="D488">
        <v>108.7</v>
      </c>
      <c r="E488">
        <v>105</v>
      </c>
      <c r="F488">
        <v>107.1</v>
      </c>
      <c r="G488">
        <v>19523068</v>
      </c>
      <c r="H488" t="s">
        <v>242</v>
      </c>
      <c r="I488" t="s">
        <v>12</v>
      </c>
      <c r="J488">
        <v>0.9</v>
      </c>
      <c r="K488">
        <v>-0.16</v>
      </c>
      <c r="L488">
        <v>-6.0000000000000053E-2</v>
      </c>
      <c r="M488" t="s">
        <v>330</v>
      </c>
    </row>
    <row r="489" spans="1:13" x14ac:dyDescent="0.3">
      <c r="A489" s="1">
        <v>377221</v>
      </c>
      <c r="B489" s="4">
        <v>44194</v>
      </c>
      <c r="C489">
        <v>93</v>
      </c>
      <c r="D489">
        <v>95</v>
      </c>
      <c r="E489">
        <v>88.75</v>
      </c>
      <c r="F489">
        <v>89.5</v>
      </c>
      <c r="G489">
        <v>16722845</v>
      </c>
      <c r="H489" t="s">
        <v>242</v>
      </c>
      <c r="I489" t="s">
        <v>12</v>
      </c>
      <c r="J489">
        <v>0.9</v>
      </c>
      <c r="K489">
        <v>-0.1804029304029304</v>
      </c>
      <c r="L489">
        <v>-8.040293040293045E-2</v>
      </c>
      <c r="M489" t="s">
        <v>330</v>
      </c>
    </row>
    <row r="490" spans="1:13" x14ac:dyDescent="0.3">
      <c r="A490" s="1">
        <v>377281</v>
      </c>
      <c r="B490" s="4">
        <v>44285</v>
      </c>
      <c r="C490">
        <v>79</v>
      </c>
      <c r="D490">
        <v>80</v>
      </c>
      <c r="E490">
        <v>79</v>
      </c>
      <c r="F490">
        <v>79.69</v>
      </c>
      <c r="G490">
        <v>50985994</v>
      </c>
      <c r="H490" t="s">
        <v>242</v>
      </c>
      <c r="I490" t="s">
        <v>12</v>
      </c>
      <c r="J490">
        <v>0.9</v>
      </c>
      <c r="K490">
        <v>-0.20150300601202409</v>
      </c>
      <c r="L490">
        <v>-0.1015030060120241</v>
      </c>
      <c r="M490" t="s">
        <v>330</v>
      </c>
    </row>
    <row r="491" spans="1:13" x14ac:dyDescent="0.3">
      <c r="A491" s="1">
        <v>377343</v>
      </c>
      <c r="B491" s="4">
        <v>44378</v>
      </c>
      <c r="C491">
        <v>69</v>
      </c>
      <c r="D491">
        <v>69.5</v>
      </c>
      <c r="E491">
        <v>68.5</v>
      </c>
      <c r="F491">
        <v>68.900000000000006</v>
      </c>
      <c r="G491">
        <v>22824453</v>
      </c>
      <c r="H491" t="s">
        <v>242</v>
      </c>
      <c r="I491" t="s">
        <v>12</v>
      </c>
      <c r="J491">
        <v>0.9</v>
      </c>
      <c r="K491">
        <v>-0.21257142857142849</v>
      </c>
      <c r="L491">
        <v>-0.1125714285714285</v>
      </c>
      <c r="M491" t="s">
        <v>330</v>
      </c>
    </row>
    <row r="492" spans="1:13" x14ac:dyDescent="0.3">
      <c r="A492" s="1">
        <v>377405</v>
      </c>
      <c r="B492" s="4">
        <v>44469</v>
      </c>
      <c r="C492">
        <v>71.010000000000005</v>
      </c>
      <c r="D492">
        <v>71.010000000000005</v>
      </c>
      <c r="E492">
        <v>56.5</v>
      </c>
      <c r="F492">
        <v>57.25</v>
      </c>
      <c r="G492">
        <v>9451974</v>
      </c>
      <c r="H492" t="s">
        <v>242</v>
      </c>
      <c r="I492" t="s">
        <v>12</v>
      </c>
      <c r="J492">
        <v>0.9</v>
      </c>
      <c r="K492">
        <v>-0.23869680851063829</v>
      </c>
      <c r="L492">
        <v>-0.1386968085106384</v>
      </c>
      <c r="M492" t="s">
        <v>330</v>
      </c>
    </row>
    <row r="493" spans="1:13" x14ac:dyDescent="0.3">
      <c r="A493" s="1">
        <v>377461</v>
      </c>
      <c r="B493" s="4">
        <v>44560</v>
      </c>
      <c r="C493">
        <v>45.85</v>
      </c>
      <c r="D493">
        <v>46.2</v>
      </c>
      <c r="E493">
        <v>45.78</v>
      </c>
      <c r="F493">
        <v>46.2</v>
      </c>
      <c r="G493">
        <v>49907632</v>
      </c>
      <c r="H493" t="s">
        <v>242</v>
      </c>
      <c r="I493" t="s">
        <v>12</v>
      </c>
      <c r="J493">
        <v>0.9</v>
      </c>
      <c r="K493">
        <v>-0.26898734177215189</v>
      </c>
      <c r="L493">
        <v>-0.16898734177215191</v>
      </c>
      <c r="M493" t="s">
        <v>330</v>
      </c>
    </row>
    <row r="494" spans="1:13" x14ac:dyDescent="0.3">
      <c r="A494" s="1">
        <v>377521</v>
      </c>
      <c r="B494" s="4">
        <v>44651</v>
      </c>
      <c r="C494">
        <v>34.6</v>
      </c>
      <c r="D494">
        <v>35</v>
      </c>
      <c r="E494">
        <v>34.25</v>
      </c>
      <c r="F494">
        <v>34.5</v>
      </c>
      <c r="G494">
        <v>28932906</v>
      </c>
      <c r="H494" t="s">
        <v>242</v>
      </c>
      <c r="I494" t="s">
        <v>12</v>
      </c>
      <c r="J494">
        <v>0.8</v>
      </c>
      <c r="K494">
        <v>-0.3222003929273084</v>
      </c>
      <c r="L494">
        <v>-0.1222003929273084</v>
      </c>
      <c r="M494" t="s">
        <v>330</v>
      </c>
    </row>
    <row r="495" spans="1:13" x14ac:dyDescent="0.3">
      <c r="A495" s="1">
        <v>377575</v>
      </c>
      <c r="B495" s="4">
        <v>44742</v>
      </c>
      <c r="C495">
        <v>22.45</v>
      </c>
      <c r="D495">
        <v>23</v>
      </c>
      <c r="E495">
        <v>22.1</v>
      </c>
      <c r="F495">
        <v>22.68</v>
      </c>
      <c r="G495">
        <v>43118128</v>
      </c>
      <c r="H495" t="s">
        <v>242</v>
      </c>
      <c r="I495" t="s">
        <v>12</v>
      </c>
      <c r="J495">
        <v>0.8</v>
      </c>
      <c r="K495">
        <v>-0.40488060876410392</v>
      </c>
      <c r="L495">
        <v>-0.20488060876410399</v>
      </c>
      <c r="M495" t="s">
        <v>330</v>
      </c>
    </row>
    <row r="496" spans="1:13" x14ac:dyDescent="0.3">
      <c r="A496" s="1">
        <v>379199</v>
      </c>
      <c r="B496" s="4">
        <v>44735</v>
      </c>
      <c r="C496">
        <v>3387</v>
      </c>
      <c r="D496">
        <v>3387</v>
      </c>
      <c r="E496">
        <v>3299</v>
      </c>
      <c r="F496">
        <v>3334</v>
      </c>
      <c r="G496">
        <v>298</v>
      </c>
      <c r="H496" t="s">
        <v>243</v>
      </c>
      <c r="I496" t="s">
        <v>26</v>
      </c>
      <c r="J496">
        <v>0.85</v>
      </c>
      <c r="K496">
        <v>-0.19951980792316931</v>
      </c>
      <c r="L496">
        <v>-4.9519807923169228E-2</v>
      </c>
    </row>
    <row r="497" spans="1:13" x14ac:dyDescent="0.3">
      <c r="A497" s="1">
        <v>381464</v>
      </c>
      <c r="B497" s="4">
        <v>44103</v>
      </c>
      <c r="C497">
        <v>1050</v>
      </c>
      <c r="D497">
        <v>1050</v>
      </c>
      <c r="E497">
        <v>1020</v>
      </c>
      <c r="F497">
        <v>1020</v>
      </c>
      <c r="G497">
        <v>32580</v>
      </c>
      <c r="H497" t="s">
        <v>244</v>
      </c>
      <c r="I497" t="s">
        <v>36</v>
      </c>
      <c r="J497">
        <v>0.7</v>
      </c>
      <c r="K497">
        <v>-0.34193548387096773</v>
      </c>
      <c r="L497">
        <v>-4.1935483870967682E-2</v>
      </c>
      <c r="M497" t="s">
        <v>330</v>
      </c>
    </row>
    <row r="498" spans="1:13" x14ac:dyDescent="0.3">
      <c r="A498" s="1">
        <v>381514</v>
      </c>
      <c r="B498" s="4">
        <v>44193</v>
      </c>
      <c r="C498">
        <v>521</v>
      </c>
      <c r="D498">
        <v>521</v>
      </c>
      <c r="E498">
        <v>520</v>
      </c>
      <c r="F498">
        <v>520</v>
      </c>
      <c r="G498">
        <v>10000</v>
      </c>
      <c r="H498" t="s">
        <v>244</v>
      </c>
      <c r="I498" t="s">
        <v>36</v>
      </c>
      <c r="J498">
        <v>0.7</v>
      </c>
      <c r="K498">
        <v>-0.5185185185185186</v>
      </c>
      <c r="L498">
        <v>-0.21851851851851861</v>
      </c>
      <c r="M498" t="s">
        <v>330</v>
      </c>
    </row>
    <row r="499" spans="1:13" x14ac:dyDescent="0.3">
      <c r="A499" s="1">
        <v>382734</v>
      </c>
      <c r="B499" s="4">
        <v>43391</v>
      </c>
      <c r="C499">
        <v>895</v>
      </c>
      <c r="D499">
        <v>899</v>
      </c>
      <c r="E499">
        <v>890</v>
      </c>
      <c r="F499">
        <v>890</v>
      </c>
      <c r="G499">
        <v>67030</v>
      </c>
      <c r="H499" t="s">
        <v>245</v>
      </c>
      <c r="I499" t="s">
        <v>15</v>
      </c>
      <c r="J499">
        <v>0.8</v>
      </c>
      <c r="K499">
        <v>-0.21029281277728479</v>
      </c>
      <c r="L499">
        <v>-1.0292812777284889E-2</v>
      </c>
      <c r="M499" t="s">
        <v>330</v>
      </c>
    </row>
    <row r="500" spans="1:13" x14ac:dyDescent="0.3">
      <c r="A500" s="1">
        <v>382792</v>
      </c>
      <c r="B500" s="4">
        <v>43482</v>
      </c>
      <c r="C500">
        <v>691.1</v>
      </c>
      <c r="D500">
        <v>700</v>
      </c>
      <c r="E500">
        <v>687</v>
      </c>
      <c r="F500">
        <v>700</v>
      </c>
      <c r="G500">
        <v>92121</v>
      </c>
      <c r="H500" t="s">
        <v>245</v>
      </c>
      <c r="I500" t="s">
        <v>15</v>
      </c>
      <c r="J500">
        <v>0.8</v>
      </c>
      <c r="K500">
        <v>-0.24731182795698919</v>
      </c>
      <c r="L500">
        <v>-4.7311827956989287E-2</v>
      </c>
      <c r="M500" t="s">
        <v>330</v>
      </c>
    </row>
    <row r="501" spans="1:13" x14ac:dyDescent="0.3">
      <c r="A501" s="1">
        <v>382850</v>
      </c>
      <c r="B501" s="4">
        <v>43571</v>
      </c>
      <c r="C501">
        <v>531</v>
      </c>
      <c r="D501">
        <v>543</v>
      </c>
      <c r="E501">
        <v>531</v>
      </c>
      <c r="F501">
        <v>535</v>
      </c>
      <c r="G501">
        <v>6955</v>
      </c>
      <c r="H501" t="s">
        <v>245</v>
      </c>
      <c r="I501" t="s">
        <v>15</v>
      </c>
      <c r="J501">
        <v>0.8</v>
      </c>
      <c r="K501">
        <v>-0.33622828784119108</v>
      </c>
      <c r="L501">
        <v>-0.13622828784119109</v>
      </c>
      <c r="M501" t="s">
        <v>330</v>
      </c>
    </row>
    <row r="502" spans="1:13" x14ac:dyDescent="0.3">
      <c r="A502" s="1">
        <v>382909</v>
      </c>
      <c r="B502" s="4">
        <v>43664</v>
      </c>
      <c r="C502">
        <v>274.5</v>
      </c>
      <c r="D502">
        <v>280</v>
      </c>
      <c r="E502">
        <v>268</v>
      </c>
      <c r="F502">
        <v>268</v>
      </c>
      <c r="G502">
        <v>309221</v>
      </c>
      <c r="H502" t="s">
        <v>245</v>
      </c>
      <c r="I502" t="s">
        <v>15</v>
      </c>
      <c r="J502">
        <v>0.8</v>
      </c>
      <c r="K502">
        <v>-0.5127272727272727</v>
      </c>
      <c r="L502">
        <v>-0.31272727272727269</v>
      </c>
      <c r="M502" t="s">
        <v>330</v>
      </c>
    </row>
    <row r="503" spans="1:13" x14ac:dyDescent="0.3">
      <c r="A503" s="1">
        <v>383156</v>
      </c>
      <c r="B503" s="6">
        <v>44126</v>
      </c>
      <c r="C503" s="7">
        <v>4650</v>
      </c>
      <c r="D503" s="7">
        <v>4850</v>
      </c>
      <c r="E503" s="7">
        <v>4529.5</v>
      </c>
      <c r="F503" s="7">
        <v>4775.5</v>
      </c>
      <c r="G503" s="7">
        <v>4512</v>
      </c>
      <c r="H503" s="7" t="s">
        <v>246</v>
      </c>
      <c r="I503" s="7" t="s">
        <v>26</v>
      </c>
      <c r="J503" s="7">
        <v>0.85</v>
      </c>
      <c r="K503" s="7">
        <v>-0.50518081027872763</v>
      </c>
      <c r="L503" s="7">
        <v>-0.35518081027872761</v>
      </c>
      <c r="M503" s="7" t="s">
        <v>329</v>
      </c>
    </row>
    <row r="504" spans="1:13" x14ac:dyDescent="0.3">
      <c r="A504" s="1">
        <v>383461</v>
      </c>
      <c r="B504" s="4">
        <v>44594</v>
      </c>
      <c r="C504">
        <v>4652.5</v>
      </c>
      <c r="D504">
        <v>4652.5</v>
      </c>
      <c r="E504">
        <v>3560</v>
      </c>
      <c r="F504">
        <v>3637</v>
      </c>
      <c r="G504">
        <v>124529</v>
      </c>
      <c r="H504" t="s">
        <v>246</v>
      </c>
      <c r="I504" t="s">
        <v>26</v>
      </c>
      <c r="J504">
        <v>0.85</v>
      </c>
      <c r="K504">
        <v>-0.25203084832904887</v>
      </c>
      <c r="L504">
        <v>-0.10203084832904891</v>
      </c>
    </row>
    <row r="505" spans="1:13" x14ac:dyDescent="0.3">
      <c r="A505" s="1">
        <v>384088</v>
      </c>
      <c r="B505" s="4">
        <v>43213</v>
      </c>
      <c r="C505">
        <v>96</v>
      </c>
      <c r="D505">
        <v>96</v>
      </c>
      <c r="E505">
        <v>96</v>
      </c>
      <c r="F505">
        <v>96</v>
      </c>
      <c r="G505">
        <v>880</v>
      </c>
      <c r="H505" t="s">
        <v>247</v>
      </c>
      <c r="I505" t="s">
        <v>26</v>
      </c>
      <c r="J505">
        <v>0.85</v>
      </c>
      <c r="K505">
        <v>-0.17241379310344829</v>
      </c>
      <c r="L505">
        <v>-2.2413793103448269E-2</v>
      </c>
    </row>
    <row r="506" spans="1:13" x14ac:dyDescent="0.3">
      <c r="A506" s="1">
        <v>386641</v>
      </c>
      <c r="B506" s="4">
        <v>44874</v>
      </c>
      <c r="C506">
        <v>5479</v>
      </c>
      <c r="D506">
        <v>5541</v>
      </c>
      <c r="E506">
        <v>4716</v>
      </c>
      <c r="F506">
        <v>4723.5</v>
      </c>
      <c r="G506">
        <v>4872</v>
      </c>
      <c r="H506" t="s">
        <v>248</v>
      </c>
      <c r="I506" t="s">
        <v>26</v>
      </c>
      <c r="J506">
        <v>0.85</v>
      </c>
      <c r="K506">
        <v>-0.20965448004685019</v>
      </c>
      <c r="L506">
        <v>-5.9654480046850138E-2</v>
      </c>
    </row>
    <row r="507" spans="1:13" x14ac:dyDescent="0.3">
      <c r="A507" s="1">
        <v>386664</v>
      </c>
      <c r="B507" s="4">
        <v>44910</v>
      </c>
      <c r="C507">
        <v>5500</v>
      </c>
      <c r="D507">
        <v>5500</v>
      </c>
      <c r="E507">
        <v>4465.5</v>
      </c>
      <c r="F507">
        <v>4612</v>
      </c>
      <c r="G507">
        <v>11535</v>
      </c>
      <c r="H507" t="s">
        <v>248</v>
      </c>
      <c r="I507" t="s">
        <v>26</v>
      </c>
      <c r="J507">
        <v>0.85</v>
      </c>
      <c r="K507">
        <v>-0.1506445672191529</v>
      </c>
      <c r="L507">
        <v>-6.4456721915284731E-4</v>
      </c>
    </row>
    <row r="508" spans="1:13" x14ac:dyDescent="0.3">
      <c r="A508" s="1">
        <v>386822</v>
      </c>
      <c r="B508" s="4">
        <v>45147</v>
      </c>
      <c r="C508">
        <v>9500</v>
      </c>
      <c r="D508">
        <v>9500</v>
      </c>
      <c r="E508">
        <v>8630</v>
      </c>
      <c r="F508">
        <v>8698</v>
      </c>
      <c r="G508">
        <v>9097</v>
      </c>
      <c r="H508" t="s">
        <v>248</v>
      </c>
      <c r="I508" t="s">
        <v>26</v>
      </c>
      <c r="J508">
        <v>0.85</v>
      </c>
      <c r="K508">
        <v>-0.23365638766519831</v>
      </c>
      <c r="L508">
        <v>-8.3656387665198229E-2</v>
      </c>
    </row>
    <row r="509" spans="1:13" x14ac:dyDescent="0.3">
      <c r="A509" s="1">
        <v>386949</v>
      </c>
      <c r="B509" s="4">
        <v>45342</v>
      </c>
      <c r="C509">
        <v>28000</v>
      </c>
      <c r="D509">
        <v>28000</v>
      </c>
      <c r="E509">
        <v>22812.5</v>
      </c>
      <c r="F509">
        <v>23558</v>
      </c>
      <c r="G509">
        <v>2505</v>
      </c>
      <c r="H509" t="s">
        <v>248</v>
      </c>
      <c r="I509" t="s">
        <v>26</v>
      </c>
      <c r="J509">
        <v>0.85</v>
      </c>
      <c r="K509">
        <v>-0.1538834515578702</v>
      </c>
      <c r="L509">
        <v>-3.8834515578701771E-3</v>
      </c>
    </row>
    <row r="510" spans="1:13" x14ac:dyDescent="0.3">
      <c r="A510" s="1">
        <v>387000</v>
      </c>
      <c r="B510" s="4">
        <v>45421</v>
      </c>
      <c r="C510">
        <v>16194.5</v>
      </c>
      <c r="D510">
        <v>16972</v>
      </c>
      <c r="E510">
        <v>16194.5</v>
      </c>
      <c r="F510">
        <v>16550.5</v>
      </c>
      <c r="G510">
        <v>9868</v>
      </c>
      <c r="H510" t="s">
        <v>248</v>
      </c>
      <c r="I510" t="s">
        <v>23</v>
      </c>
      <c r="J510">
        <v>0.85</v>
      </c>
      <c r="K510">
        <v>-0.21278063165905639</v>
      </c>
      <c r="L510">
        <v>-6.2780631659056341E-2</v>
      </c>
    </row>
    <row r="511" spans="1:13" x14ac:dyDescent="0.3">
      <c r="A511" s="1">
        <v>393925</v>
      </c>
      <c r="B511" s="4">
        <v>42356</v>
      </c>
      <c r="C511">
        <v>95.6</v>
      </c>
      <c r="D511">
        <v>95.6</v>
      </c>
      <c r="E511">
        <v>95.6</v>
      </c>
      <c r="F511">
        <v>95.6</v>
      </c>
      <c r="G511">
        <v>1044</v>
      </c>
      <c r="H511" t="s">
        <v>249</v>
      </c>
      <c r="I511" t="s">
        <v>26</v>
      </c>
      <c r="J511">
        <v>0.85</v>
      </c>
      <c r="K511">
        <v>-0.25429017160686429</v>
      </c>
      <c r="L511">
        <v>-0.1042901716068643</v>
      </c>
      <c r="M511" t="s">
        <v>331</v>
      </c>
    </row>
    <row r="512" spans="1:13" x14ac:dyDescent="0.3">
      <c r="A512" s="1">
        <v>394819</v>
      </c>
      <c r="B512" s="6">
        <v>45315</v>
      </c>
      <c r="C512" s="7">
        <v>11470</v>
      </c>
      <c r="D512" s="7">
        <v>11642</v>
      </c>
      <c r="E512" s="7">
        <v>11015.5</v>
      </c>
      <c r="F512" s="7">
        <v>11385.5</v>
      </c>
      <c r="G512" s="7">
        <v>1118</v>
      </c>
      <c r="H512" s="7" t="s">
        <v>249</v>
      </c>
      <c r="I512" s="7" t="s">
        <v>26</v>
      </c>
      <c r="J512" s="7">
        <v>0.85</v>
      </c>
      <c r="K512" s="7">
        <v>-0.48554064434503641</v>
      </c>
      <c r="L512" s="7">
        <v>-0.33554064434503639</v>
      </c>
      <c r="M512" s="7" t="s">
        <v>329</v>
      </c>
    </row>
    <row r="513" spans="1:13" x14ac:dyDescent="0.3">
      <c r="A513" s="1">
        <v>394909</v>
      </c>
      <c r="B513" s="4">
        <v>45412</v>
      </c>
      <c r="C513">
        <v>3997</v>
      </c>
      <c r="D513">
        <v>3997</v>
      </c>
      <c r="E513">
        <v>3600</v>
      </c>
      <c r="F513">
        <v>3605.5</v>
      </c>
      <c r="G513">
        <v>20305</v>
      </c>
      <c r="H513" t="s">
        <v>250</v>
      </c>
      <c r="I513" t="s">
        <v>23</v>
      </c>
      <c r="J513">
        <v>0.85</v>
      </c>
      <c r="K513">
        <v>-0.1652969093645098</v>
      </c>
      <c r="L513">
        <v>-1.5296909364509779E-2</v>
      </c>
    </row>
    <row r="514" spans="1:13" x14ac:dyDescent="0.3">
      <c r="A514" s="1">
        <v>397768</v>
      </c>
      <c r="B514" s="4">
        <v>44133</v>
      </c>
      <c r="C514">
        <v>1700</v>
      </c>
      <c r="D514">
        <v>1700</v>
      </c>
      <c r="E514">
        <v>1609</v>
      </c>
      <c r="F514">
        <v>1609.5</v>
      </c>
      <c r="G514">
        <v>377</v>
      </c>
      <c r="H514" t="s">
        <v>251</v>
      </c>
      <c r="I514" t="s">
        <v>26</v>
      </c>
      <c r="J514">
        <v>0.85</v>
      </c>
      <c r="K514">
        <v>-0.15289473684210531</v>
      </c>
      <c r="L514">
        <v>-2.8947368421052828E-3</v>
      </c>
    </row>
    <row r="515" spans="1:13" x14ac:dyDescent="0.3">
      <c r="A515" s="1">
        <v>397792</v>
      </c>
      <c r="B515" s="4">
        <v>44168</v>
      </c>
      <c r="C515">
        <v>3050</v>
      </c>
      <c r="D515">
        <v>3050</v>
      </c>
      <c r="E515">
        <v>2180</v>
      </c>
      <c r="F515">
        <v>2204</v>
      </c>
      <c r="G515">
        <v>1808</v>
      </c>
      <c r="H515" t="s">
        <v>251</v>
      </c>
      <c r="I515" t="s">
        <v>26</v>
      </c>
      <c r="J515">
        <v>0.85</v>
      </c>
      <c r="K515">
        <v>-0.29358974358974349</v>
      </c>
      <c r="L515">
        <v>-0.1435897435897435</v>
      </c>
    </row>
    <row r="516" spans="1:13" x14ac:dyDescent="0.3">
      <c r="A516" s="1">
        <v>403006</v>
      </c>
      <c r="B516" s="4">
        <v>43993</v>
      </c>
      <c r="C516">
        <v>1148</v>
      </c>
      <c r="D516">
        <v>1150</v>
      </c>
      <c r="E516">
        <v>1124.5</v>
      </c>
      <c r="F516">
        <v>1124.5</v>
      </c>
      <c r="G516">
        <v>25</v>
      </c>
      <c r="H516" t="s">
        <v>252</v>
      </c>
      <c r="I516" t="s">
        <v>26</v>
      </c>
      <c r="J516">
        <v>0.85</v>
      </c>
      <c r="K516">
        <v>-0.15323795180722891</v>
      </c>
      <c r="L516">
        <v>-3.237951807228856E-3</v>
      </c>
    </row>
    <row r="517" spans="1:13" x14ac:dyDescent="0.3">
      <c r="A517" s="1">
        <v>403357</v>
      </c>
      <c r="B517" s="4">
        <v>44546</v>
      </c>
      <c r="C517">
        <v>2500</v>
      </c>
      <c r="D517">
        <v>2519.5</v>
      </c>
      <c r="E517">
        <v>2464</v>
      </c>
      <c r="F517">
        <v>2500.5</v>
      </c>
      <c r="G517">
        <v>449</v>
      </c>
      <c r="H517" t="s">
        <v>252</v>
      </c>
      <c r="I517" t="s">
        <v>26</v>
      </c>
      <c r="J517">
        <v>0.85</v>
      </c>
      <c r="K517">
        <v>-0.17841301133563339</v>
      </c>
      <c r="L517">
        <v>-2.8413011335633339E-2</v>
      </c>
    </row>
    <row r="518" spans="1:13" x14ac:dyDescent="0.3">
      <c r="A518" s="1">
        <v>404060</v>
      </c>
      <c r="B518" s="6">
        <v>44126</v>
      </c>
      <c r="C518" s="7">
        <v>4468</v>
      </c>
      <c r="D518" s="7">
        <v>4510</v>
      </c>
      <c r="E518" s="7">
        <v>4433.5</v>
      </c>
      <c r="F518" s="7">
        <v>4499.5</v>
      </c>
      <c r="G518" s="7">
        <v>25</v>
      </c>
      <c r="H518" s="7" t="s">
        <v>253</v>
      </c>
      <c r="I518" s="7" t="s">
        <v>26</v>
      </c>
      <c r="J518" s="7">
        <v>0.85</v>
      </c>
      <c r="K518" s="7">
        <v>-0.49610840472590861</v>
      </c>
      <c r="L518" s="7">
        <v>-0.34610840472590848</v>
      </c>
      <c r="M518" s="7" t="s">
        <v>329</v>
      </c>
    </row>
    <row r="519" spans="1:13" x14ac:dyDescent="0.3">
      <c r="A519" s="1">
        <v>404062</v>
      </c>
      <c r="B519" s="4">
        <v>44130</v>
      </c>
      <c r="C519">
        <v>4360</v>
      </c>
      <c r="D519">
        <v>4360</v>
      </c>
      <c r="E519">
        <v>3200</v>
      </c>
      <c r="F519">
        <v>3292.5</v>
      </c>
      <c r="G519">
        <v>6152</v>
      </c>
      <c r="H519" t="s">
        <v>253</v>
      </c>
      <c r="I519" t="s">
        <v>26</v>
      </c>
      <c r="J519">
        <v>0.85</v>
      </c>
      <c r="K519">
        <v>-0.24327740749253049</v>
      </c>
      <c r="L519">
        <v>-9.327740749253044E-2</v>
      </c>
    </row>
    <row r="520" spans="1:13" x14ac:dyDescent="0.3">
      <c r="A520" s="1">
        <v>404889</v>
      </c>
      <c r="B520" s="4">
        <v>42199</v>
      </c>
      <c r="C520">
        <v>750</v>
      </c>
      <c r="D520">
        <v>750</v>
      </c>
      <c r="E520">
        <v>750</v>
      </c>
      <c r="F520">
        <v>750</v>
      </c>
      <c r="G520">
        <v>13</v>
      </c>
      <c r="H520" t="s">
        <v>254</v>
      </c>
      <c r="I520" t="s">
        <v>26</v>
      </c>
      <c r="J520">
        <v>0.85</v>
      </c>
      <c r="K520">
        <v>-0.26535409932412579</v>
      </c>
      <c r="L520">
        <v>-0.1153540993241258</v>
      </c>
      <c r="M520" t="s">
        <v>331</v>
      </c>
    </row>
    <row r="521" spans="1:13" x14ac:dyDescent="0.3">
      <c r="A521" s="1">
        <v>404898</v>
      </c>
      <c r="B521" s="4">
        <v>42521</v>
      </c>
      <c r="C521">
        <v>745</v>
      </c>
      <c r="D521">
        <v>745</v>
      </c>
      <c r="E521">
        <v>745</v>
      </c>
      <c r="F521">
        <v>745</v>
      </c>
      <c r="G521">
        <v>12</v>
      </c>
      <c r="H521" t="s">
        <v>254</v>
      </c>
      <c r="I521" t="s">
        <v>26</v>
      </c>
      <c r="J521">
        <v>0.85</v>
      </c>
      <c r="K521">
        <v>-0.1629213483146067</v>
      </c>
      <c r="L521">
        <v>-1.292134831460667E-2</v>
      </c>
      <c r="M521" t="s">
        <v>331</v>
      </c>
    </row>
    <row r="522" spans="1:13" x14ac:dyDescent="0.3">
      <c r="A522" s="1">
        <v>405109</v>
      </c>
      <c r="B522" s="6">
        <v>44126</v>
      </c>
      <c r="C522" s="7">
        <v>4035</v>
      </c>
      <c r="D522" s="7">
        <v>4100</v>
      </c>
      <c r="E522" s="7">
        <v>3980</v>
      </c>
      <c r="F522" s="7">
        <v>4077</v>
      </c>
      <c r="G522" s="7">
        <v>1033</v>
      </c>
      <c r="H522" s="7" t="s">
        <v>254</v>
      </c>
      <c r="I522" s="7" t="s">
        <v>26</v>
      </c>
      <c r="J522" s="7">
        <v>0.85</v>
      </c>
      <c r="K522" s="7">
        <v>-0.74735863671572422</v>
      </c>
      <c r="L522" s="7">
        <v>-0.5973586367157242</v>
      </c>
      <c r="M522" s="7" t="s">
        <v>329</v>
      </c>
    </row>
    <row r="523" spans="1:13" x14ac:dyDescent="0.3">
      <c r="A523" s="1">
        <v>405886</v>
      </c>
      <c r="B523" s="6">
        <v>45315</v>
      </c>
      <c r="C523" s="7">
        <v>10045</v>
      </c>
      <c r="D523" s="7">
        <v>10093.5</v>
      </c>
      <c r="E523" s="7">
        <v>9847.5</v>
      </c>
      <c r="F523" s="7">
        <v>10031.5</v>
      </c>
      <c r="G523" s="7">
        <v>2685</v>
      </c>
      <c r="H523" s="7" t="s">
        <v>254</v>
      </c>
      <c r="I523" s="7" t="s">
        <v>26</v>
      </c>
      <c r="J523" s="7">
        <v>0.85</v>
      </c>
      <c r="K523" s="7">
        <v>-0.66245499512096639</v>
      </c>
      <c r="L523" s="7">
        <v>-0.51245499512096637</v>
      </c>
      <c r="M523" s="7" t="s">
        <v>329</v>
      </c>
    </row>
    <row r="524" spans="1:13" x14ac:dyDescent="0.3">
      <c r="A524" s="1">
        <v>406231</v>
      </c>
      <c r="B524" s="4">
        <v>45062</v>
      </c>
      <c r="C524">
        <v>1166.5</v>
      </c>
      <c r="D524">
        <v>1166.5</v>
      </c>
      <c r="E524">
        <v>1071</v>
      </c>
      <c r="F524">
        <v>1095</v>
      </c>
      <c r="G524">
        <v>64378</v>
      </c>
      <c r="H524" t="s">
        <v>255</v>
      </c>
      <c r="I524" t="s">
        <v>26</v>
      </c>
      <c r="J524">
        <v>0.85</v>
      </c>
      <c r="K524">
        <v>-0.15995397008055229</v>
      </c>
      <c r="L524">
        <v>-9.9539700805523212E-3</v>
      </c>
    </row>
    <row r="525" spans="1:13" x14ac:dyDescent="0.3">
      <c r="A525" s="1">
        <v>406292</v>
      </c>
      <c r="B525" s="4">
        <v>45153</v>
      </c>
      <c r="C525">
        <v>950</v>
      </c>
      <c r="D525">
        <v>950</v>
      </c>
      <c r="E525">
        <v>860</v>
      </c>
      <c r="F525">
        <v>897.5</v>
      </c>
      <c r="G525">
        <v>200281</v>
      </c>
      <c r="H525" t="s">
        <v>255</v>
      </c>
      <c r="I525" t="s">
        <v>26</v>
      </c>
      <c r="J525">
        <v>0.85</v>
      </c>
      <c r="K525">
        <v>-0.22795698924731181</v>
      </c>
      <c r="L525">
        <v>-7.7956989247311759E-2</v>
      </c>
    </row>
    <row r="526" spans="1:13" x14ac:dyDescent="0.3">
      <c r="A526" s="1">
        <v>406352</v>
      </c>
      <c r="B526" s="4">
        <v>45244</v>
      </c>
      <c r="C526">
        <v>1180</v>
      </c>
      <c r="D526">
        <v>1190</v>
      </c>
      <c r="E526">
        <v>977.5</v>
      </c>
      <c r="F526">
        <v>989</v>
      </c>
      <c r="G526">
        <v>79378</v>
      </c>
      <c r="H526" t="s">
        <v>255</v>
      </c>
      <c r="I526" t="s">
        <v>26</v>
      </c>
      <c r="J526">
        <v>0.85</v>
      </c>
      <c r="K526">
        <v>-0.2215663124754034</v>
      </c>
      <c r="L526">
        <v>-7.1566312475403349E-2</v>
      </c>
    </row>
    <row r="527" spans="1:13" x14ac:dyDescent="0.3">
      <c r="A527" s="1">
        <v>409062</v>
      </c>
      <c r="B527" s="4">
        <v>45245</v>
      </c>
      <c r="C527">
        <v>45.85</v>
      </c>
      <c r="D527">
        <v>57.7</v>
      </c>
      <c r="E527">
        <v>45.85</v>
      </c>
      <c r="F527">
        <v>50.2</v>
      </c>
      <c r="G527">
        <v>976027</v>
      </c>
      <c r="H527" t="s">
        <v>256</v>
      </c>
      <c r="I527" t="s">
        <v>176</v>
      </c>
      <c r="J527">
        <v>0.4</v>
      </c>
      <c r="K527">
        <v>-0.62814814814814812</v>
      </c>
      <c r="L527">
        <v>-2.8148148148148141E-2</v>
      </c>
      <c r="M527" t="s">
        <v>329</v>
      </c>
    </row>
    <row r="528" spans="1:13" x14ac:dyDescent="0.3">
      <c r="A528" s="1">
        <v>409412</v>
      </c>
      <c r="B528" s="4">
        <v>44608</v>
      </c>
      <c r="C528">
        <v>1680</v>
      </c>
      <c r="D528">
        <v>1680</v>
      </c>
      <c r="E528">
        <v>1421</v>
      </c>
      <c r="F528">
        <v>1447.5</v>
      </c>
      <c r="G528">
        <v>56332</v>
      </c>
      <c r="H528" t="s">
        <v>257</v>
      </c>
      <c r="I528" t="s">
        <v>26</v>
      </c>
      <c r="J528">
        <v>0.85</v>
      </c>
      <c r="K528">
        <v>-0.16738567730802409</v>
      </c>
      <c r="L528">
        <v>-1.7385677308024091E-2</v>
      </c>
    </row>
    <row r="529" spans="1:13" x14ac:dyDescent="0.3">
      <c r="A529" s="1">
        <v>409463</v>
      </c>
      <c r="B529" s="4">
        <v>44686</v>
      </c>
      <c r="C529">
        <v>893</v>
      </c>
      <c r="D529">
        <v>893</v>
      </c>
      <c r="E529">
        <v>766</v>
      </c>
      <c r="F529">
        <v>791.5</v>
      </c>
      <c r="G529">
        <v>17862</v>
      </c>
      <c r="H529" t="s">
        <v>257</v>
      </c>
      <c r="I529" t="s">
        <v>26</v>
      </c>
      <c r="J529">
        <v>0.85</v>
      </c>
      <c r="K529">
        <v>-0.1516613076098606</v>
      </c>
      <c r="L529">
        <v>-1.661307609860607E-3</v>
      </c>
    </row>
    <row r="530" spans="1:13" x14ac:dyDescent="0.3">
      <c r="A530" s="1">
        <v>409493</v>
      </c>
      <c r="B530" s="4">
        <v>44741</v>
      </c>
      <c r="C530">
        <v>80.2</v>
      </c>
      <c r="D530">
        <v>83.4</v>
      </c>
      <c r="E530">
        <v>77</v>
      </c>
      <c r="F530">
        <v>78.7</v>
      </c>
      <c r="G530">
        <v>125148</v>
      </c>
      <c r="H530" t="s">
        <v>257</v>
      </c>
      <c r="I530" t="s">
        <v>26</v>
      </c>
      <c r="J530">
        <v>0.85</v>
      </c>
      <c r="K530">
        <v>-0.90367197062423499</v>
      </c>
      <c r="L530">
        <v>-0.75367197062423497</v>
      </c>
      <c r="M530" t="s">
        <v>329</v>
      </c>
    </row>
    <row r="531" spans="1:13" x14ac:dyDescent="0.3">
      <c r="A531" s="1">
        <v>409888</v>
      </c>
      <c r="B531" s="4">
        <v>45336</v>
      </c>
      <c r="C531">
        <v>1001</v>
      </c>
      <c r="D531">
        <v>1001</v>
      </c>
      <c r="E531">
        <v>850</v>
      </c>
      <c r="F531">
        <v>886</v>
      </c>
      <c r="G531">
        <v>103587</v>
      </c>
      <c r="H531" t="s">
        <v>257</v>
      </c>
      <c r="I531" t="s">
        <v>26</v>
      </c>
      <c r="J531">
        <v>0.85</v>
      </c>
      <c r="K531">
        <v>-0.15899383009017559</v>
      </c>
      <c r="L531">
        <v>-8.9938300901756252E-3</v>
      </c>
    </row>
    <row r="532" spans="1:13" x14ac:dyDescent="0.3">
      <c r="A532" s="1">
        <v>409942</v>
      </c>
      <c r="B532" s="4">
        <v>45420</v>
      </c>
      <c r="C532">
        <v>646</v>
      </c>
      <c r="D532">
        <v>646</v>
      </c>
      <c r="E532">
        <v>622</v>
      </c>
      <c r="F532">
        <v>637.5</v>
      </c>
      <c r="G532">
        <v>531932</v>
      </c>
      <c r="H532" t="s">
        <v>257</v>
      </c>
      <c r="I532" t="s">
        <v>23</v>
      </c>
      <c r="J532">
        <v>0.85</v>
      </c>
      <c r="K532">
        <v>-0.19962335216572499</v>
      </c>
      <c r="L532">
        <v>-4.9623352165724999E-2</v>
      </c>
    </row>
    <row r="533" spans="1:13" x14ac:dyDescent="0.3">
      <c r="A533" s="1">
        <v>410065</v>
      </c>
      <c r="B533" s="4">
        <v>44931</v>
      </c>
      <c r="C533">
        <v>500</v>
      </c>
      <c r="D533">
        <v>527</v>
      </c>
      <c r="E533">
        <v>384.5</v>
      </c>
      <c r="F533">
        <v>430.5</v>
      </c>
      <c r="G533">
        <v>230479</v>
      </c>
      <c r="H533" t="s">
        <v>258</v>
      </c>
      <c r="I533" t="s">
        <v>12</v>
      </c>
      <c r="J533">
        <v>0.7</v>
      </c>
      <c r="K533">
        <v>-0.41902834008097167</v>
      </c>
      <c r="L533">
        <v>-0.1190283400809716</v>
      </c>
    </row>
    <row r="534" spans="1:13" x14ac:dyDescent="0.3">
      <c r="A534" s="1">
        <v>410103</v>
      </c>
      <c r="B534" s="4">
        <v>44987</v>
      </c>
      <c r="C534">
        <v>345</v>
      </c>
      <c r="D534">
        <v>345</v>
      </c>
      <c r="E534">
        <v>213</v>
      </c>
      <c r="F534">
        <v>215.25</v>
      </c>
      <c r="G534">
        <v>1227167</v>
      </c>
      <c r="H534" t="s">
        <v>258</v>
      </c>
      <c r="I534" t="s">
        <v>12</v>
      </c>
      <c r="J534">
        <v>0.7</v>
      </c>
      <c r="K534">
        <v>-0.56993006993007</v>
      </c>
      <c r="L534">
        <v>-0.26993006993007002</v>
      </c>
    </row>
    <row r="535" spans="1:13" x14ac:dyDescent="0.3">
      <c r="A535" s="1">
        <v>410108</v>
      </c>
      <c r="B535" s="4">
        <v>44994</v>
      </c>
      <c r="C535">
        <v>108</v>
      </c>
      <c r="D535">
        <v>156</v>
      </c>
      <c r="E535">
        <v>100</v>
      </c>
      <c r="F535">
        <v>108</v>
      </c>
      <c r="G535">
        <v>839134</v>
      </c>
      <c r="H535" t="s">
        <v>258</v>
      </c>
      <c r="I535" t="s">
        <v>12</v>
      </c>
      <c r="J535">
        <v>0.7</v>
      </c>
      <c r="K535">
        <v>-0.40659340659340659</v>
      </c>
      <c r="L535">
        <v>-0.10659340659340651</v>
      </c>
    </row>
    <row r="536" spans="1:13" x14ac:dyDescent="0.3">
      <c r="A536" s="1">
        <v>410148</v>
      </c>
      <c r="B536" s="4">
        <v>45057</v>
      </c>
      <c r="C536">
        <v>62.5</v>
      </c>
      <c r="D536">
        <v>62.5</v>
      </c>
      <c r="E536">
        <v>22</v>
      </c>
      <c r="F536">
        <v>22.45</v>
      </c>
      <c r="G536">
        <v>358539</v>
      </c>
      <c r="H536" t="s">
        <v>258</v>
      </c>
      <c r="I536" t="s">
        <v>12</v>
      </c>
      <c r="J536">
        <v>0.7</v>
      </c>
      <c r="K536">
        <v>-0.61819727891156462</v>
      </c>
      <c r="L536">
        <v>-0.31819727891156457</v>
      </c>
    </row>
    <row r="537" spans="1:13" x14ac:dyDescent="0.3">
      <c r="A537" s="1">
        <v>410196</v>
      </c>
      <c r="B537" s="4">
        <v>43906</v>
      </c>
      <c r="C537">
        <v>1055</v>
      </c>
      <c r="D537">
        <v>1055</v>
      </c>
      <c r="E537">
        <v>1012</v>
      </c>
      <c r="F537">
        <v>1028</v>
      </c>
      <c r="G537">
        <v>63</v>
      </c>
      <c r="H537" t="s">
        <v>259</v>
      </c>
      <c r="I537" t="s">
        <v>25</v>
      </c>
      <c r="J537">
        <v>0.8</v>
      </c>
      <c r="K537">
        <v>-0.33677419354838711</v>
      </c>
      <c r="L537">
        <v>-0.13677419354838721</v>
      </c>
    </row>
    <row r="538" spans="1:13" x14ac:dyDescent="0.3">
      <c r="A538" s="1">
        <v>411041</v>
      </c>
      <c r="B538" s="4">
        <v>42919</v>
      </c>
      <c r="C538">
        <v>391.7</v>
      </c>
      <c r="D538">
        <v>391.7</v>
      </c>
      <c r="E538">
        <v>391.7</v>
      </c>
      <c r="F538">
        <v>391.7</v>
      </c>
      <c r="G538">
        <v>300</v>
      </c>
      <c r="H538" t="s">
        <v>260</v>
      </c>
      <c r="I538" t="s">
        <v>25</v>
      </c>
      <c r="J538">
        <v>0.8</v>
      </c>
      <c r="K538">
        <v>-0.38071146245059301</v>
      </c>
      <c r="L538">
        <v>-0.180711462450593</v>
      </c>
      <c r="M538" t="s">
        <v>331</v>
      </c>
    </row>
    <row r="539" spans="1:13" x14ac:dyDescent="0.3">
      <c r="A539" s="1">
        <v>411069</v>
      </c>
      <c r="B539" s="4">
        <v>41444</v>
      </c>
      <c r="C539">
        <v>197.45</v>
      </c>
      <c r="D539">
        <v>197.45</v>
      </c>
      <c r="E539">
        <v>197.45</v>
      </c>
      <c r="F539">
        <v>197.45</v>
      </c>
      <c r="G539">
        <v>102</v>
      </c>
      <c r="H539" t="s">
        <v>261</v>
      </c>
      <c r="I539" t="s">
        <v>26</v>
      </c>
      <c r="J539">
        <v>0.85</v>
      </c>
      <c r="K539">
        <v>-0.18409090909090911</v>
      </c>
      <c r="L539">
        <v>-3.4090909090909061E-2</v>
      </c>
      <c r="M539" t="s">
        <v>331</v>
      </c>
    </row>
    <row r="540" spans="1:13" x14ac:dyDescent="0.3">
      <c r="A540" s="1">
        <v>411087</v>
      </c>
      <c r="B540" s="4">
        <v>43532</v>
      </c>
      <c r="C540">
        <v>573</v>
      </c>
      <c r="D540">
        <v>573</v>
      </c>
      <c r="E540">
        <v>573</v>
      </c>
      <c r="F540">
        <v>573</v>
      </c>
      <c r="G540">
        <v>87</v>
      </c>
      <c r="H540" t="s">
        <v>261</v>
      </c>
      <c r="I540" t="s">
        <v>26</v>
      </c>
      <c r="J540">
        <v>0.85</v>
      </c>
      <c r="K540">
        <v>-0.25195822454308092</v>
      </c>
      <c r="L540">
        <v>-0.1019582245430809</v>
      </c>
      <c r="M540" t="s">
        <v>331</v>
      </c>
    </row>
    <row r="541" spans="1:13" x14ac:dyDescent="0.3">
      <c r="A541" s="1">
        <v>411107</v>
      </c>
      <c r="B541" s="4">
        <v>43889</v>
      </c>
      <c r="C541">
        <v>780</v>
      </c>
      <c r="D541">
        <v>780</v>
      </c>
      <c r="E541">
        <v>780</v>
      </c>
      <c r="F541">
        <v>780</v>
      </c>
      <c r="G541">
        <v>132</v>
      </c>
      <c r="H541" t="s">
        <v>261</v>
      </c>
      <c r="I541" t="s">
        <v>26</v>
      </c>
      <c r="J541">
        <v>0.85</v>
      </c>
      <c r="K541">
        <v>-0.17460317460317459</v>
      </c>
      <c r="L541">
        <v>-2.460317460317463E-2</v>
      </c>
    </row>
    <row r="542" spans="1:13" x14ac:dyDescent="0.3">
      <c r="A542" s="1">
        <v>411108</v>
      </c>
      <c r="B542" s="4">
        <v>43900</v>
      </c>
      <c r="C542">
        <v>500</v>
      </c>
      <c r="D542">
        <v>540</v>
      </c>
      <c r="E542">
        <v>500</v>
      </c>
      <c r="F542">
        <v>520</v>
      </c>
      <c r="G542">
        <v>1458</v>
      </c>
      <c r="H542" t="s">
        <v>261</v>
      </c>
      <c r="I542" t="s">
        <v>26</v>
      </c>
      <c r="J542">
        <v>0.85</v>
      </c>
      <c r="K542">
        <v>-0.33333333333333343</v>
      </c>
      <c r="L542">
        <v>-0.18333333333333329</v>
      </c>
    </row>
    <row r="543" spans="1:13" x14ac:dyDescent="0.3">
      <c r="A543" s="1">
        <v>411153</v>
      </c>
      <c r="B543" s="4">
        <v>43991</v>
      </c>
      <c r="C543">
        <v>1050</v>
      </c>
      <c r="D543">
        <v>1050</v>
      </c>
      <c r="E543">
        <v>891</v>
      </c>
      <c r="F543">
        <v>902</v>
      </c>
      <c r="G543">
        <v>1992</v>
      </c>
      <c r="H543" t="s">
        <v>261</v>
      </c>
      <c r="I543" t="s">
        <v>26</v>
      </c>
      <c r="J543">
        <v>0.85</v>
      </c>
      <c r="K543">
        <v>-0.15305164319248829</v>
      </c>
      <c r="L543">
        <v>-3.0516431924882959E-3</v>
      </c>
    </row>
    <row r="544" spans="1:13" x14ac:dyDescent="0.3">
      <c r="A544" s="1">
        <v>411634</v>
      </c>
      <c r="B544" s="4">
        <v>44735</v>
      </c>
      <c r="C544">
        <v>2848</v>
      </c>
      <c r="D544">
        <v>2848</v>
      </c>
      <c r="E544">
        <v>2711</v>
      </c>
      <c r="F544">
        <v>2761</v>
      </c>
      <c r="G544">
        <v>2258</v>
      </c>
      <c r="H544" t="s">
        <v>261</v>
      </c>
      <c r="I544" t="s">
        <v>26</v>
      </c>
      <c r="J544">
        <v>0.85</v>
      </c>
      <c r="K544">
        <v>-0.20156159629843839</v>
      </c>
      <c r="L544">
        <v>-5.1561596298438372E-2</v>
      </c>
    </row>
    <row r="545" spans="1:13" x14ac:dyDescent="0.3">
      <c r="A545" s="1">
        <v>412745</v>
      </c>
      <c r="B545" s="4">
        <v>43895</v>
      </c>
      <c r="C545">
        <v>1146</v>
      </c>
      <c r="D545">
        <v>1146</v>
      </c>
      <c r="E545">
        <v>1130</v>
      </c>
      <c r="F545">
        <v>1130</v>
      </c>
      <c r="G545">
        <v>94</v>
      </c>
      <c r="H545" t="s">
        <v>262</v>
      </c>
      <c r="I545" t="s">
        <v>26</v>
      </c>
      <c r="J545">
        <v>0.85</v>
      </c>
      <c r="K545">
        <v>-0.24515698062792249</v>
      </c>
      <c r="L545">
        <v>-9.5156980627922438E-2</v>
      </c>
      <c r="M545" t="s">
        <v>331</v>
      </c>
    </row>
    <row r="546" spans="1:13" x14ac:dyDescent="0.3">
      <c r="A546" s="1">
        <v>412862</v>
      </c>
      <c r="B546" s="4">
        <v>44130</v>
      </c>
      <c r="C546">
        <v>7800</v>
      </c>
      <c r="D546">
        <v>7990</v>
      </c>
      <c r="E546">
        <v>6581.5</v>
      </c>
      <c r="F546">
        <v>6589.5</v>
      </c>
      <c r="G546">
        <v>293</v>
      </c>
      <c r="H546" t="s">
        <v>262</v>
      </c>
      <c r="I546" t="s">
        <v>26</v>
      </c>
      <c r="J546">
        <v>0.85</v>
      </c>
      <c r="K546">
        <v>-0.1510017393545062</v>
      </c>
      <c r="L546">
        <v>-1.0017393545062041E-3</v>
      </c>
    </row>
    <row r="547" spans="1:13" x14ac:dyDescent="0.3">
      <c r="A547" s="1">
        <v>413092</v>
      </c>
      <c r="B547" s="4">
        <v>44491</v>
      </c>
      <c r="C547">
        <v>11580</v>
      </c>
      <c r="D547">
        <v>11723</v>
      </c>
      <c r="E547">
        <v>11075.5</v>
      </c>
      <c r="F547">
        <v>11101</v>
      </c>
      <c r="G547">
        <v>3865</v>
      </c>
      <c r="H547" t="s">
        <v>262</v>
      </c>
      <c r="I547" t="s">
        <v>26</v>
      </c>
      <c r="J547">
        <v>0.85</v>
      </c>
      <c r="K547">
        <v>-0.25446608462055081</v>
      </c>
      <c r="L547">
        <v>-0.10446608462055069</v>
      </c>
    </row>
    <row r="548" spans="1:13" x14ac:dyDescent="0.3">
      <c r="A548" s="1">
        <v>413162</v>
      </c>
      <c r="B548" s="4">
        <v>44595</v>
      </c>
      <c r="C548">
        <v>6695.5</v>
      </c>
      <c r="D548">
        <v>6695.5</v>
      </c>
      <c r="E548">
        <v>5395</v>
      </c>
      <c r="F548">
        <v>5486.5</v>
      </c>
      <c r="G548">
        <v>1681</v>
      </c>
      <c r="H548" t="s">
        <v>262</v>
      </c>
      <c r="I548" t="s">
        <v>26</v>
      </c>
      <c r="J548">
        <v>0.85</v>
      </c>
      <c r="K548">
        <v>-0.2278516642037858</v>
      </c>
      <c r="L548">
        <v>-7.7851664203785753E-2</v>
      </c>
    </row>
    <row r="549" spans="1:13" x14ac:dyDescent="0.3">
      <c r="A549" s="1">
        <v>413231</v>
      </c>
      <c r="B549" s="4">
        <v>44705</v>
      </c>
      <c r="C549">
        <v>2879.5</v>
      </c>
      <c r="D549">
        <v>2926</v>
      </c>
      <c r="E549">
        <v>2683</v>
      </c>
      <c r="F549">
        <v>2731.5</v>
      </c>
      <c r="G549">
        <v>4772</v>
      </c>
      <c r="H549" t="s">
        <v>262</v>
      </c>
      <c r="I549" t="s">
        <v>26</v>
      </c>
      <c r="J549">
        <v>0.85</v>
      </c>
      <c r="K549">
        <v>-0.41975570897503978</v>
      </c>
      <c r="L549">
        <v>-0.26975570897503981</v>
      </c>
    </row>
    <row r="550" spans="1:13" x14ac:dyDescent="0.3">
      <c r="A550" s="1">
        <v>413266</v>
      </c>
      <c r="B550" s="4">
        <v>44764</v>
      </c>
      <c r="C550">
        <v>3597</v>
      </c>
      <c r="D550">
        <v>3597</v>
      </c>
      <c r="E550">
        <v>3220</v>
      </c>
      <c r="F550">
        <v>3265.5</v>
      </c>
      <c r="G550">
        <v>21215</v>
      </c>
      <c r="H550" t="s">
        <v>262</v>
      </c>
      <c r="I550" t="s">
        <v>26</v>
      </c>
      <c r="J550">
        <v>0.85</v>
      </c>
      <c r="K550">
        <v>-0.40681198910081739</v>
      </c>
      <c r="L550">
        <v>-0.25681198910081737</v>
      </c>
    </row>
    <row r="551" spans="1:13" x14ac:dyDescent="0.3">
      <c r="A551" s="1">
        <v>413327</v>
      </c>
      <c r="B551" s="4">
        <v>44855</v>
      </c>
      <c r="C551">
        <v>2550</v>
      </c>
      <c r="D551">
        <v>2590</v>
      </c>
      <c r="E551">
        <v>2241</v>
      </c>
      <c r="F551">
        <v>2366</v>
      </c>
      <c r="G551">
        <v>7988</v>
      </c>
      <c r="H551" t="s">
        <v>262</v>
      </c>
      <c r="I551" t="s">
        <v>26</v>
      </c>
      <c r="J551">
        <v>0.85</v>
      </c>
      <c r="K551">
        <v>-0.27854855923159022</v>
      </c>
      <c r="L551">
        <v>-0.12854855923159009</v>
      </c>
    </row>
    <row r="552" spans="1:13" x14ac:dyDescent="0.3">
      <c r="A552" s="1">
        <v>413452</v>
      </c>
      <c r="B552" s="4">
        <v>45044</v>
      </c>
      <c r="C552">
        <v>3945</v>
      </c>
      <c r="D552">
        <v>4000</v>
      </c>
      <c r="E552">
        <v>3865</v>
      </c>
      <c r="F552">
        <v>3946</v>
      </c>
      <c r="G552">
        <v>11238</v>
      </c>
      <c r="H552" t="s">
        <v>262</v>
      </c>
      <c r="I552" t="s">
        <v>26</v>
      </c>
      <c r="J552">
        <v>0.85</v>
      </c>
      <c r="K552">
        <v>-0.178601165695254</v>
      </c>
      <c r="L552">
        <v>-2.8601165695253949E-2</v>
      </c>
    </row>
    <row r="553" spans="1:13" x14ac:dyDescent="0.3">
      <c r="A553" s="1">
        <v>413510</v>
      </c>
      <c r="B553" s="4">
        <v>45133</v>
      </c>
      <c r="C553">
        <v>5526</v>
      </c>
      <c r="D553">
        <v>5829</v>
      </c>
      <c r="E553">
        <v>5475</v>
      </c>
      <c r="F553">
        <v>5765</v>
      </c>
      <c r="G553">
        <v>30153</v>
      </c>
      <c r="H553" t="s">
        <v>262</v>
      </c>
      <c r="I553" t="s">
        <v>26</v>
      </c>
      <c r="J553">
        <v>0.85</v>
      </c>
      <c r="K553">
        <v>-0.15332647965927451</v>
      </c>
      <c r="L553">
        <v>-3.3264796592744621E-3</v>
      </c>
    </row>
    <row r="554" spans="1:13" x14ac:dyDescent="0.3">
      <c r="A554" s="1">
        <v>413639</v>
      </c>
      <c r="B554" s="4">
        <v>45329</v>
      </c>
      <c r="C554">
        <v>20649</v>
      </c>
      <c r="D554">
        <v>20649</v>
      </c>
      <c r="E554">
        <v>14110</v>
      </c>
      <c r="F554">
        <v>14266</v>
      </c>
      <c r="G554">
        <v>12069</v>
      </c>
      <c r="H554" t="s">
        <v>262</v>
      </c>
      <c r="I554" t="s">
        <v>26</v>
      </c>
      <c r="J554">
        <v>0.85</v>
      </c>
      <c r="K554">
        <v>-0.34365439028317718</v>
      </c>
      <c r="L554">
        <v>-0.19365439028317721</v>
      </c>
    </row>
    <row r="555" spans="1:13" x14ac:dyDescent="0.3">
      <c r="A555" s="1">
        <v>413942</v>
      </c>
      <c r="B555" s="4">
        <v>44623</v>
      </c>
      <c r="C555">
        <v>1500</v>
      </c>
      <c r="D555">
        <v>1568</v>
      </c>
      <c r="E555">
        <v>1453</v>
      </c>
      <c r="F555">
        <v>1470.5</v>
      </c>
      <c r="G555">
        <v>4443</v>
      </c>
      <c r="H555" t="s">
        <v>263</v>
      </c>
      <c r="I555" t="s">
        <v>26</v>
      </c>
      <c r="J555">
        <v>0.85</v>
      </c>
      <c r="K555">
        <v>-0.17872102764590889</v>
      </c>
      <c r="L555">
        <v>-2.8721027645908889E-2</v>
      </c>
    </row>
    <row r="556" spans="1:13" x14ac:dyDescent="0.3">
      <c r="A556" s="1">
        <v>414084</v>
      </c>
      <c r="B556" s="4">
        <v>44845</v>
      </c>
      <c r="C556">
        <v>1535</v>
      </c>
      <c r="D556">
        <v>1595</v>
      </c>
      <c r="E556">
        <v>1499.5</v>
      </c>
      <c r="F556">
        <v>1572</v>
      </c>
      <c r="G556">
        <v>5070</v>
      </c>
      <c r="H556" t="s">
        <v>263</v>
      </c>
      <c r="I556" t="s">
        <v>26</v>
      </c>
      <c r="J556">
        <v>0.85</v>
      </c>
      <c r="K556">
        <v>-0.18612477349210449</v>
      </c>
      <c r="L556">
        <v>-3.6124773492104523E-2</v>
      </c>
    </row>
    <row r="557" spans="1:13" x14ac:dyDescent="0.3">
      <c r="A557" s="1">
        <v>414420</v>
      </c>
      <c r="B557" s="4">
        <v>45351</v>
      </c>
      <c r="C557">
        <v>6770</v>
      </c>
      <c r="D557">
        <v>6892.5</v>
      </c>
      <c r="E557">
        <v>6570</v>
      </c>
      <c r="F557">
        <v>6703</v>
      </c>
      <c r="G557">
        <v>12991</v>
      </c>
      <c r="H557" t="s">
        <v>263</v>
      </c>
      <c r="I557" t="s">
        <v>26</v>
      </c>
      <c r="J557">
        <v>0.85</v>
      </c>
      <c r="K557">
        <v>-0.19026334863493599</v>
      </c>
      <c r="L557">
        <v>-4.0263348634935969E-2</v>
      </c>
    </row>
    <row r="558" spans="1:13" x14ac:dyDescent="0.3">
      <c r="A558" s="1">
        <v>415367</v>
      </c>
      <c r="B558" s="6">
        <v>45315</v>
      </c>
      <c r="C558" s="7">
        <v>15611</v>
      </c>
      <c r="D558" s="7">
        <v>16207.5</v>
      </c>
      <c r="E558" s="7">
        <v>15611</v>
      </c>
      <c r="F558" s="7">
        <v>15812</v>
      </c>
      <c r="G558" s="7">
        <v>497</v>
      </c>
      <c r="H558" s="7" t="s">
        <v>264</v>
      </c>
      <c r="I558" s="7" t="s">
        <v>26</v>
      </c>
      <c r="J558" s="7">
        <v>0.85</v>
      </c>
      <c r="K558" s="7">
        <v>-0.50168604834389086</v>
      </c>
      <c r="L558" s="7">
        <v>-0.35168604834389078</v>
      </c>
      <c r="M558" s="7" t="s">
        <v>329</v>
      </c>
    </row>
    <row r="559" spans="1:13" x14ac:dyDescent="0.3">
      <c r="A559" s="1">
        <v>415453</v>
      </c>
      <c r="B559" s="4">
        <v>45401</v>
      </c>
      <c r="C559">
        <v>1950</v>
      </c>
      <c r="D559">
        <v>1950</v>
      </c>
      <c r="E559">
        <v>1760</v>
      </c>
      <c r="F559">
        <v>1913</v>
      </c>
      <c r="G559">
        <v>20625</v>
      </c>
      <c r="H559" t="s">
        <v>265</v>
      </c>
      <c r="I559" t="s">
        <v>23</v>
      </c>
      <c r="J559">
        <v>0.85</v>
      </c>
      <c r="K559">
        <v>-0.16826086956521741</v>
      </c>
      <c r="L559">
        <v>-1.826086956521733E-2</v>
      </c>
    </row>
    <row r="560" spans="1:13" x14ac:dyDescent="0.3">
      <c r="A560" s="1">
        <v>416162</v>
      </c>
      <c r="B560" s="4">
        <v>44595</v>
      </c>
      <c r="C560">
        <v>1431.5</v>
      </c>
      <c r="D560">
        <v>1431.5</v>
      </c>
      <c r="E560">
        <v>1233</v>
      </c>
      <c r="F560">
        <v>1274</v>
      </c>
      <c r="G560">
        <v>22196</v>
      </c>
      <c r="H560" t="s">
        <v>266</v>
      </c>
      <c r="I560" t="s">
        <v>26</v>
      </c>
      <c r="J560">
        <v>0.85</v>
      </c>
      <c r="K560">
        <v>-0.15376951179010301</v>
      </c>
      <c r="L560">
        <v>-3.7695117901029862E-3</v>
      </c>
    </row>
    <row r="561" spans="1:13" x14ac:dyDescent="0.3">
      <c r="A561" s="1">
        <v>416215</v>
      </c>
      <c r="B561" s="4">
        <v>44678</v>
      </c>
      <c r="C561">
        <v>850</v>
      </c>
      <c r="D561">
        <v>850</v>
      </c>
      <c r="E561">
        <v>719</v>
      </c>
      <c r="F561">
        <v>726</v>
      </c>
      <c r="G561">
        <v>32759</v>
      </c>
      <c r="H561" t="s">
        <v>266</v>
      </c>
      <c r="I561" t="s">
        <v>26</v>
      </c>
      <c r="J561">
        <v>0.85</v>
      </c>
      <c r="K561">
        <v>-0.15186915887850469</v>
      </c>
      <c r="L561">
        <v>-1.8691588785046951E-3</v>
      </c>
    </row>
    <row r="562" spans="1:13" x14ac:dyDescent="0.3">
      <c r="A562" s="1">
        <v>417556</v>
      </c>
      <c r="B562" s="4">
        <v>44692</v>
      </c>
      <c r="C562">
        <v>867.5</v>
      </c>
      <c r="D562">
        <v>870.5</v>
      </c>
      <c r="E562">
        <v>735</v>
      </c>
      <c r="F562">
        <v>744</v>
      </c>
      <c r="G562">
        <v>15095</v>
      </c>
      <c r="H562" t="s">
        <v>267</v>
      </c>
      <c r="I562" t="s">
        <v>26</v>
      </c>
      <c r="J562">
        <v>0.85</v>
      </c>
      <c r="K562">
        <v>-0.15502555366269169</v>
      </c>
      <c r="L562">
        <v>-5.0255536626916397E-3</v>
      </c>
    </row>
    <row r="563" spans="1:13" x14ac:dyDescent="0.3">
      <c r="A563" s="1">
        <v>417764</v>
      </c>
      <c r="B563" s="4">
        <v>45008</v>
      </c>
      <c r="C563">
        <v>1157.5</v>
      </c>
      <c r="D563">
        <v>1295.5</v>
      </c>
      <c r="E563">
        <v>1144</v>
      </c>
      <c r="F563">
        <v>1210</v>
      </c>
      <c r="G563">
        <v>74286</v>
      </c>
      <c r="H563" t="s">
        <v>267</v>
      </c>
      <c r="I563" t="s">
        <v>26</v>
      </c>
      <c r="J563">
        <v>0.85</v>
      </c>
      <c r="K563">
        <v>-0.16465308940283049</v>
      </c>
      <c r="L563">
        <v>-1.4653089402830499E-2</v>
      </c>
    </row>
    <row r="564" spans="1:13" x14ac:dyDescent="0.3">
      <c r="A564" s="1">
        <v>420099</v>
      </c>
      <c r="B564" s="4">
        <v>43336</v>
      </c>
      <c r="C564">
        <v>52.5</v>
      </c>
      <c r="D564">
        <v>52.5</v>
      </c>
      <c r="E564">
        <v>38.15</v>
      </c>
      <c r="F564">
        <v>38.4</v>
      </c>
      <c r="G564">
        <v>12622518</v>
      </c>
      <c r="H564" t="s">
        <v>268</v>
      </c>
      <c r="I564" t="s">
        <v>12</v>
      </c>
      <c r="J564">
        <v>0.8</v>
      </c>
      <c r="K564">
        <v>-0.30497737556561089</v>
      </c>
      <c r="L564">
        <v>-0.1049773755656109</v>
      </c>
    </row>
    <row r="565" spans="1:13" x14ac:dyDescent="0.3">
      <c r="A565" s="1">
        <v>420332</v>
      </c>
      <c r="B565" s="4">
        <v>43689</v>
      </c>
      <c r="C565">
        <v>48</v>
      </c>
      <c r="D565">
        <v>48</v>
      </c>
      <c r="E565">
        <v>35</v>
      </c>
      <c r="F565">
        <v>36.299999999999997</v>
      </c>
      <c r="G565">
        <v>3712488</v>
      </c>
      <c r="H565" t="s">
        <v>268</v>
      </c>
      <c r="I565" t="s">
        <v>12</v>
      </c>
      <c r="J565">
        <v>0.8</v>
      </c>
      <c r="K565">
        <v>-0.47807332854061818</v>
      </c>
      <c r="L565">
        <v>-0.27807332854061828</v>
      </c>
    </row>
    <row r="566" spans="1:13" x14ac:dyDescent="0.3">
      <c r="A566" s="1">
        <v>420476</v>
      </c>
      <c r="B566" s="4">
        <v>43902</v>
      </c>
      <c r="C566">
        <v>33.4</v>
      </c>
      <c r="D566">
        <v>33.4</v>
      </c>
      <c r="E566">
        <v>27.8</v>
      </c>
      <c r="F566">
        <v>28.35</v>
      </c>
      <c r="G566">
        <v>2549441</v>
      </c>
      <c r="H566" t="s">
        <v>268</v>
      </c>
      <c r="I566" t="s">
        <v>12</v>
      </c>
      <c r="J566">
        <v>0.8</v>
      </c>
      <c r="K566">
        <v>-0.20699300699300691</v>
      </c>
      <c r="L566">
        <v>-6.9930069930069783E-3</v>
      </c>
    </row>
    <row r="567" spans="1:13" x14ac:dyDescent="0.3">
      <c r="A567" s="1">
        <v>421583</v>
      </c>
      <c r="B567" s="6">
        <v>44882</v>
      </c>
      <c r="C567" s="7">
        <v>3453</v>
      </c>
      <c r="D567" s="7">
        <v>3453</v>
      </c>
      <c r="E567" s="7">
        <v>3453</v>
      </c>
      <c r="F567" s="7">
        <v>3453</v>
      </c>
      <c r="G567" s="7">
        <v>1</v>
      </c>
      <c r="H567" s="7" t="s">
        <v>269</v>
      </c>
      <c r="I567" s="7" t="s">
        <v>26</v>
      </c>
      <c r="J567" s="7">
        <v>0.85</v>
      </c>
      <c r="K567" s="7">
        <v>-0.74422222222222223</v>
      </c>
      <c r="L567" s="7">
        <v>-0.59422222222222221</v>
      </c>
      <c r="M567" s="7" t="s">
        <v>329</v>
      </c>
    </row>
    <row r="568" spans="1:13" x14ac:dyDescent="0.3">
      <c r="A568" s="1">
        <v>421917</v>
      </c>
      <c r="B568" s="4">
        <v>41982</v>
      </c>
      <c r="C568">
        <v>129.85</v>
      </c>
      <c r="D568">
        <v>129.85</v>
      </c>
      <c r="E568">
        <v>129.85</v>
      </c>
      <c r="F568">
        <v>129.85</v>
      </c>
      <c r="G568">
        <v>23934</v>
      </c>
      <c r="H568" t="s">
        <v>270</v>
      </c>
      <c r="I568" t="s">
        <v>26</v>
      </c>
      <c r="J568">
        <v>0.85</v>
      </c>
      <c r="K568">
        <v>-0.19845679012345679</v>
      </c>
      <c r="L568">
        <v>-4.8456790123456828E-2</v>
      </c>
      <c r="M568" t="s">
        <v>331</v>
      </c>
    </row>
    <row r="569" spans="1:13" x14ac:dyDescent="0.3">
      <c r="A569" s="1">
        <v>422643</v>
      </c>
      <c r="B569" s="4">
        <v>44662</v>
      </c>
      <c r="C569">
        <v>1483</v>
      </c>
      <c r="D569">
        <v>1483</v>
      </c>
      <c r="E569">
        <v>1235</v>
      </c>
      <c r="F569">
        <v>1255</v>
      </c>
      <c r="G569">
        <v>19769</v>
      </c>
      <c r="H569" t="s">
        <v>270</v>
      </c>
      <c r="I569" t="s">
        <v>26</v>
      </c>
      <c r="J569">
        <v>0.85</v>
      </c>
      <c r="K569">
        <v>-0.18373983739837399</v>
      </c>
      <c r="L569">
        <v>-3.373983739837394E-2</v>
      </c>
    </row>
    <row r="570" spans="1:13" x14ac:dyDescent="0.3">
      <c r="A570" s="1">
        <v>423602</v>
      </c>
      <c r="B570" s="4">
        <v>45222</v>
      </c>
      <c r="C570">
        <v>49290</v>
      </c>
      <c r="D570">
        <v>49290</v>
      </c>
      <c r="E570">
        <v>41000</v>
      </c>
      <c r="F570">
        <v>41200</v>
      </c>
      <c r="G570">
        <v>46628</v>
      </c>
      <c r="H570" t="s">
        <v>271</v>
      </c>
      <c r="I570" t="s">
        <v>26</v>
      </c>
      <c r="J570">
        <v>0.9</v>
      </c>
      <c r="K570">
        <v>-0.1082251082251082</v>
      </c>
      <c r="L570">
        <v>-8.2251082251082464E-3</v>
      </c>
    </row>
    <row r="571" spans="1:13" x14ac:dyDescent="0.3">
      <c r="A571" s="1">
        <v>424986</v>
      </c>
      <c r="B571" s="4">
        <v>44721</v>
      </c>
      <c r="C571">
        <v>146</v>
      </c>
      <c r="D571">
        <v>146</v>
      </c>
      <c r="E571">
        <v>131.55000000000001</v>
      </c>
      <c r="F571">
        <v>134.1</v>
      </c>
      <c r="G571">
        <v>255189369</v>
      </c>
      <c r="H571" t="s">
        <v>272</v>
      </c>
      <c r="I571" t="s">
        <v>26</v>
      </c>
      <c r="J571">
        <v>0.9</v>
      </c>
      <c r="K571">
        <v>-0.1629213483146067</v>
      </c>
      <c r="L571">
        <v>-6.2921348314606718E-2</v>
      </c>
    </row>
    <row r="572" spans="1:13" x14ac:dyDescent="0.3">
      <c r="A572" s="1">
        <v>428035</v>
      </c>
      <c r="B572" s="4">
        <v>43689</v>
      </c>
      <c r="C572">
        <v>163.30000000000001</v>
      </c>
      <c r="D572">
        <v>163.30000000000001</v>
      </c>
      <c r="E572">
        <v>119</v>
      </c>
      <c r="F572">
        <v>130</v>
      </c>
      <c r="G572">
        <v>1691686</v>
      </c>
      <c r="H572" t="s">
        <v>273</v>
      </c>
      <c r="I572" t="s">
        <v>12</v>
      </c>
      <c r="J572">
        <v>0.9</v>
      </c>
      <c r="K572">
        <v>-0.24198250728862969</v>
      </c>
      <c r="L572">
        <v>-0.14198250728862971</v>
      </c>
    </row>
    <row r="573" spans="1:13" x14ac:dyDescent="0.3">
      <c r="A573" s="1">
        <v>428036</v>
      </c>
      <c r="B573" s="4">
        <v>43690</v>
      </c>
      <c r="C573">
        <v>134</v>
      </c>
      <c r="D573">
        <v>134</v>
      </c>
      <c r="E573">
        <v>110</v>
      </c>
      <c r="F573">
        <v>114.8</v>
      </c>
      <c r="G573">
        <v>46852233</v>
      </c>
      <c r="H573" t="s">
        <v>273</v>
      </c>
      <c r="I573" t="s">
        <v>12</v>
      </c>
      <c r="J573">
        <v>0.9</v>
      </c>
      <c r="K573">
        <v>-0.11692307692307689</v>
      </c>
      <c r="L573">
        <v>-1.692307692307693E-2</v>
      </c>
    </row>
    <row r="574" spans="1:13" x14ac:dyDescent="0.3">
      <c r="A574" s="1">
        <v>428037</v>
      </c>
      <c r="B574" s="4">
        <v>43691</v>
      </c>
      <c r="C574">
        <v>115.95</v>
      </c>
      <c r="D574">
        <v>115.95</v>
      </c>
      <c r="E574">
        <v>99</v>
      </c>
      <c r="F574">
        <v>102.429</v>
      </c>
      <c r="G574">
        <v>146750000</v>
      </c>
      <c r="H574" t="s">
        <v>273</v>
      </c>
      <c r="I574" t="s">
        <v>12</v>
      </c>
      <c r="J574">
        <v>0.9</v>
      </c>
      <c r="K574">
        <v>-0.1077613240418118</v>
      </c>
      <c r="L574">
        <v>-7.7613240418118457E-3</v>
      </c>
    </row>
    <row r="575" spans="1:13" x14ac:dyDescent="0.3">
      <c r="A575" s="1">
        <v>428040</v>
      </c>
      <c r="B575" s="4">
        <v>43697</v>
      </c>
      <c r="C575">
        <v>118</v>
      </c>
      <c r="D575">
        <v>118</v>
      </c>
      <c r="E575">
        <v>109</v>
      </c>
      <c r="F575">
        <v>103.39</v>
      </c>
      <c r="G575">
        <v>60000000</v>
      </c>
      <c r="H575" t="s">
        <v>273</v>
      </c>
      <c r="I575" t="s">
        <v>12</v>
      </c>
      <c r="J575">
        <v>0.9</v>
      </c>
      <c r="K575">
        <v>-0.1238135593220339</v>
      </c>
      <c r="L575">
        <v>-2.381355932203388E-2</v>
      </c>
    </row>
    <row r="576" spans="1:13" x14ac:dyDescent="0.3">
      <c r="A576" s="1">
        <v>428045</v>
      </c>
      <c r="B576" s="4">
        <v>43704</v>
      </c>
      <c r="C576">
        <v>100</v>
      </c>
      <c r="D576">
        <v>100</v>
      </c>
      <c r="E576">
        <v>90</v>
      </c>
      <c r="F576">
        <v>93.5</v>
      </c>
      <c r="G576">
        <v>5853479</v>
      </c>
      <c r="H576" t="s">
        <v>273</v>
      </c>
      <c r="I576" t="s">
        <v>12</v>
      </c>
      <c r="J576">
        <v>0.9</v>
      </c>
      <c r="K576">
        <v>-0.1395731914932776</v>
      </c>
      <c r="L576">
        <v>-3.9573191493277649E-2</v>
      </c>
    </row>
    <row r="577" spans="1:13" x14ac:dyDescent="0.3">
      <c r="A577" s="1">
        <v>428051</v>
      </c>
      <c r="B577" s="4">
        <v>43712</v>
      </c>
      <c r="C577">
        <v>72</v>
      </c>
      <c r="D577">
        <v>72</v>
      </c>
      <c r="E577">
        <v>66</v>
      </c>
      <c r="F577">
        <v>68.97</v>
      </c>
      <c r="G577">
        <v>176000000</v>
      </c>
      <c r="H577" t="s">
        <v>273</v>
      </c>
      <c r="I577" t="s">
        <v>12</v>
      </c>
      <c r="J577">
        <v>0.9</v>
      </c>
      <c r="K577">
        <v>-0.23763098554184911</v>
      </c>
      <c r="L577">
        <v>-0.13763098554184919</v>
      </c>
    </row>
    <row r="578" spans="1:13" x14ac:dyDescent="0.3">
      <c r="A578" s="1">
        <v>430273</v>
      </c>
      <c r="B578" s="4">
        <v>44560</v>
      </c>
      <c r="C578">
        <v>2450</v>
      </c>
      <c r="D578">
        <v>2450</v>
      </c>
      <c r="E578">
        <v>2450</v>
      </c>
      <c r="F578">
        <v>2450</v>
      </c>
      <c r="G578">
        <v>4</v>
      </c>
      <c r="H578" t="s">
        <v>274</v>
      </c>
      <c r="I578" t="s">
        <v>26</v>
      </c>
      <c r="J578">
        <v>0.85</v>
      </c>
      <c r="K578">
        <v>-0.19553439500902969</v>
      </c>
      <c r="L578">
        <v>-4.5534395009029671E-2</v>
      </c>
    </row>
    <row r="579" spans="1:13" x14ac:dyDescent="0.3">
      <c r="A579" s="1">
        <v>430279</v>
      </c>
      <c r="B579" s="4">
        <v>44655</v>
      </c>
      <c r="C579">
        <v>2315</v>
      </c>
      <c r="D579">
        <v>2315</v>
      </c>
      <c r="E579">
        <v>2315</v>
      </c>
      <c r="F579">
        <v>2315</v>
      </c>
      <c r="G579">
        <v>2</v>
      </c>
      <c r="H579" t="s">
        <v>274</v>
      </c>
      <c r="I579" t="s">
        <v>26</v>
      </c>
      <c r="J579">
        <v>0.85</v>
      </c>
      <c r="K579">
        <v>-0.28769230769230769</v>
      </c>
      <c r="L579">
        <v>-0.1376923076923077</v>
      </c>
    </row>
    <row r="580" spans="1:13" x14ac:dyDescent="0.3">
      <c r="A580" s="1">
        <v>430316</v>
      </c>
      <c r="B580" s="4">
        <v>44845</v>
      </c>
      <c r="C580">
        <v>3585</v>
      </c>
      <c r="D580">
        <v>3786.5</v>
      </c>
      <c r="E580">
        <v>3511</v>
      </c>
      <c r="F580">
        <v>3593</v>
      </c>
      <c r="G580">
        <v>1674</v>
      </c>
      <c r="H580" t="s">
        <v>274</v>
      </c>
      <c r="I580" t="s">
        <v>26</v>
      </c>
      <c r="J580">
        <v>0.85</v>
      </c>
      <c r="K580">
        <v>-0.235613232634826</v>
      </c>
      <c r="L580">
        <v>-8.5613232634826009E-2</v>
      </c>
    </row>
    <row r="581" spans="1:13" x14ac:dyDescent="0.3">
      <c r="A581" s="1">
        <v>431055</v>
      </c>
      <c r="B581" s="4">
        <v>45222</v>
      </c>
      <c r="C581">
        <v>46200</v>
      </c>
      <c r="D581">
        <v>46200</v>
      </c>
      <c r="E581">
        <v>37800</v>
      </c>
      <c r="F581">
        <v>41100</v>
      </c>
      <c r="G581">
        <v>6418205</v>
      </c>
      <c r="H581" t="s">
        <v>275</v>
      </c>
      <c r="I581" t="s">
        <v>26</v>
      </c>
      <c r="J581">
        <v>0.9</v>
      </c>
      <c r="K581">
        <v>-0.100656455142232</v>
      </c>
      <c r="L581">
        <v>-6.5645514223200419E-4</v>
      </c>
    </row>
    <row r="582" spans="1:13" x14ac:dyDescent="0.3">
      <c r="A582" s="1">
        <v>433403</v>
      </c>
      <c r="B582" s="4">
        <v>43689</v>
      </c>
      <c r="C582">
        <v>100.2</v>
      </c>
      <c r="D582">
        <v>130</v>
      </c>
      <c r="E582">
        <v>100</v>
      </c>
      <c r="F582">
        <v>113.15</v>
      </c>
      <c r="G582">
        <v>206776</v>
      </c>
      <c r="H582" t="s">
        <v>276</v>
      </c>
      <c r="I582" t="s">
        <v>12</v>
      </c>
      <c r="J582">
        <v>0.8</v>
      </c>
      <c r="K582">
        <v>-0.20957038071952491</v>
      </c>
      <c r="L582">
        <v>-9.5703807195249846E-3</v>
      </c>
    </row>
    <row r="583" spans="1:13" x14ac:dyDescent="0.3">
      <c r="A583" s="1">
        <v>436088</v>
      </c>
      <c r="B583" s="4">
        <v>44363</v>
      </c>
      <c r="C583">
        <v>106</v>
      </c>
      <c r="D583">
        <v>120</v>
      </c>
      <c r="E583">
        <v>106</v>
      </c>
      <c r="F583">
        <v>113</v>
      </c>
      <c r="G583">
        <v>8804</v>
      </c>
      <c r="H583" t="s">
        <v>277</v>
      </c>
      <c r="I583" t="s">
        <v>25</v>
      </c>
      <c r="J583">
        <v>0.8</v>
      </c>
      <c r="K583">
        <v>-0.2441471571906354</v>
      </c>
      <c r="L583">
        <v>-4.4147157190635437E-2</v>
      </c>
    </row>
    <row r="584" spans="1:13" x14ac:dyDescent="0.3">
      <c r="A584" s="1">
        <v>441267</v>
      </c>
      <c r="B584" s="4">
        <v>43689</v>
      </c>
      <c r="C584">
        <v>58</v>
      </c>
      <c r="D584">
        <v>60</v>
      </c>
      <c r="E584">
        <v>38.799999999999997</v>
      </c>
      <c r="F584">
        <v>49.85</v>
      </c>
      <c r="G584">
        <v>404385</v>
      </c>
      <c r="H584" t="s">
        <v>278</v>
      </c>
      <c r="I584" t="s">
        <v>12</v>
      </c>
      <c r="J584">
        <v>0.8</v>
      </c>
      <c r="K584">
        <v>-0.35427461139896382</v>
      </c>
      <c r="L584">
        <v>-0.15427461139896381</v>
      </c>
    </row>
    <row r="585" spans="1:13" x14ac:dyDescent="0.3">
      <c r="A585" s="1">
        <v>444012</v>
      </c>
      <c r="B585" s="4">
        <v>43689</v>
      </c>
      <c r="C585">
        <v>100</v>
      </c>
      <c r="D585">
        <v>116.95</v>
      </c>
      <c r="E585">
        <v>90</v>
      </c>
      <c r="F585">
        <v>91.4</v>
      </c>
      <c r="G585">
        <v>673168</v>
      </c>
      <c r="H585" t="s">
        <v>279</v>
      </c>
      <c r="I585" t="s">
        <v>12</v>
      </c>
      <c r="J585">
        <v>0.8</v>
      </c>
      <c r="K585">
        <v>-0.36150890674118052</v>
      </c>
      <c r="L585">
        <v>-0.1615089067411806</v>
      </c>
    </row>
    <row r="586" spans="1:13" x14ac:dyDescent="0.3">
      <c r="A586" s="1">
        <v>445558</v>
      </c>
      <c r="B586" s="4">
        <v>44700</v>
      </c>
      <c r="C586">
        <v>8147</v>
      </c>
      <c r="D586">
        <v>8382</v>
      </c>
      <c r="E586">
        <v>8013.5</v>
      </c>
      <c r="F586">
        <v>8135</v>
      </c>
      <c r="G586">
        <v>1018</v>
      </c>
      <c r="H586" t="s">
        <v>280</v>
      </c>
      <c r="I586" t="s">
        <v>26</v>
      </c>
      <c r="J586">
        <v>0.85</v>
      </c>
      <c r="K586">
        <v>-0.27611674675209108</v>
      </c>
      <c r="L586">
        <v>-0.12611674675209111</v>
      </c>
    </row>
    <row r="587" spans="1:13" x14ac:dyDescent="0.3">
      <c r="A587" s="1">
        <v>445674</v>
      </c>
      <c r="B587" s="6">
        <v>44882</v>
      </c>
      <c r="C587" s="7">
        <v>2104</v>
      </c>
      <c r="D587" s="7">
        <v>2264</v>
      </c>
      <c r="E587" s="7">
        <v>2104</v>
      </c>
      <c r="F587" s="7">
        <v>2260</v>
      </c>
      <c r="G587" s="7">
        <v>814</v>
      </c>
      <c r="H587" s="7" t="s">
        <v>280</v>
      </c>
      <c r="I587" s="7" t="s">
        <v>26</v>
      </c>
      <c r="J587" s="7">
        <v>0.85</v>
      </c>
      <c r="K587" s="7">
        <v>-0.82063492063492061</v>
      </c>
      <c r="L587" s="7">
        <v>-0.67063492063492058</v>
      </c>
      <c r="M587" s="7" t="s">
        <v>329</v>
      </c>
    </row>
    <row r="588" spans="1:13" x14ac:dyDescent="0.3">
      <c r="A588" s="1">
        <v>446405</v>
      </c>
      <c r="B588" s="4">
        <v>43453</v>
      </c>
      <c r="C588">
        <v>103.5</v>
      </c>
      <c r="D588">
        <v>104</v>
      </c>
      <c r="E588">
        <v>103.5</v>
      </c>
      <c r="F588">
        <v>103.7</v>
      </c>
      <c r="G588">
        <v>36541269</v>
      </c>
      <c r="H588" t="s">
        <v>281</v>
      </c>
      <c r="I588" t="s">
        <v>12</v>
      </c>
      <c r="J588">
        <v>0.9</v>
      </c>
      <c r="K588">
        <v>-0.13039832285115299</v>
      </c>
      <c r="L588">
        <v>-3.039832285115307E-2</v>
      </c>
      <c r="M588" t="s">
        <v>330</v>
      </c>
    </row>
    <row r="589" spans="1:13" x14ac:dyDescent="0.3">
      <c r="A589" s="1">
        <v>446521</v>
      </c>
      <c r="B589" s="4">
        <v>43634</v>
      </c>
      <c r="C589">
        <v>99</v>
      </c>
      <c r="D589">
        <v>99</v>
      </c>
      <c r="E589">
        <v>98.25</v>
      </c>
      <c r="F589">
        <v>98.35</v>
      </c>
      <c r="G589">
        <v>103990699</v>
      </c>
      <c r="H589" t="s">
        <v>281</v>
      </c>
      <c r="I589" t="s">
        <v>12</v>
      </c>
      <c r="J589">
        <v>0.9</v>
      </c>
      <c r="K589">
        <v>-0.1521551724137932</v>
      </c>
      <c r="L589">
        <v>-5.2155172413793187E-2</v>
      </c>
      <c r="M589" t="s">
        <v>330</v>
      </c>
    </row>
    <row r="590" spans="1:13" x14ac:dyDescent="0.3">
      <c r="A590" s="1">
        <v>446557</v>
      </c>
      <c r="B590" s="4">
        <v>43689</v>
      </c>
      <c r="C590">
        <v>100</v>
      </c>
      <c r="D590">
        <v>100</v>
      </c>
      <c r="E590">
        <v>80</v>
      </c>
      <c r="F590">
        <v>85</v>
      </c>
      <c r="G590">
        <v>1979386</v>
      </c>
      <c r="H590" t="s">
        <v>281</v>
      </c>
      <c r="I590" t="s">
        <v>12</v>
      </c>
      <c r="J590">
        <v>0.9</v>
      </c>
      <c r="K590">
        <v>-0.1783470275495409</v>
      </c>
      <c r="L590">
        <v>-7.8347027549540926E-2</v>
      </c>
    </row>
    <row r="591" spans="1:13" x14ac:dyDescent="0.3">
      <c r="A591" s="1">
        <v>446560</v>
      </c>
      <c r="B591" s="4">
        <v>43692</v>
      </c>
      <c r="C591">
        <v>73</v>
      </c>
      <c r="D591">
        <v>78</v>
      </c>
      <c r="E591">
        <v>72</v>
      </c>
      <c r="F591">
        <v>75.075000000000003</v>
      </c>
      <c r="G591">
        <v>200000000</v>
      </c>
      <c r="H591" t="s">
        <v>281</v>
      </c>
      <c r="I591" t="s">
        <v>12</v>
      </c>
      <c r="J591">
        <v>0.9</v>
      </c>
      <c r="K591">
        <v>-0.27276161692482059</v>
      </c>
      <c r="L591">
        <v>-0.17276161692482059</v>
      </c>
    </row>
    <row r="592" spans="1:13" x14ac:dyDescent="0.3">
      <c r="A592" s="1">
        <v>446571</v>
      </c>
      <c r="B592" s="4">
        <v>43710</v>
      </c>
      <c r="C592">
        <v>50.5</v>
      </c>
      <c r="D592">
        <v>55</v>
      </c>
      <c r="E592">
        <v>45</v>
      </c>
      <c r="F592">
        <v>46.1</v>
      </c>
      <c r="G592">
        <v>12000000</v>
      </c>
      <c r="H592" t="s">
        <v>281</v>
      </c>
      <c r="I592" t="s">
        <v>12</v>
      </c>
      <c r="J592">
        <v>0.9</v>
      </c>
      <c r="K592">
        <v>-0.2051724137931035</v>
      </c>
      <c r="L592">
        <v>-0.10517241379310351</v>
      </c>
    </row>
    <row r="593" spans="1:13" x14ac:dyDescent="0.3">
      <c r="A593" s="1">
        <v>446572</v>
      </c>
      <c r="B593" s="4">
        <v>43711</v>
      </c>
      <c r="C593">
        <v>49</v>
      </c>
      <c r="D593">
        <v>49</v>
      </c>
      <c r="E593">
        <v>38.75</v>
      </c>
      <c r="F593">
        <v>39.854999999999997</v>
      </c>
      <c r="G593">
        <v>290000000</v>
      </c>
      <c r="H593" t="s">
        <v>281</v>
      </c>
      <c r="I593" t="s">
        <v>12</v>
      </c>
      <c r="J593">
        <v>0.9</v>
      </c>
      <c r="K593">
        <v>-0.1354663774403472</v>
      </c>
      <c r="L593">
        <v>-3.5466377440347203E-2</v>
      </c>
    </row>
    <row r="594" spans="1:13" x14ac:dyDescent="0.3">
      <c r="A594" s="1">
        <v>446584</v>
      </c>
      <c r="B594" s="4">
        <v>43727</v>
      </c>
      <c r="C594">
        <v>52.33</v>
      </c>
      <c r="D594">
        <v>52.33</v>
      </c>
      <c r="E594">
        <v>38</v>
      </c>
      <c r="F594">
        <v>41.5</v>
      </c>
      <c r="G594">
        <v>25439492</v>
      </c>
      <c r="H594" t="s">
        <v>281</v>
      </c>
      <c r="I594" t="s">
        <v>12</v>
      </c>
      <c r="J594">
        <v>0.9</v>
      </c>
      <c r="K594">
        <v>-0.25225225225225217</v>
      </c>
      <c r="L594">
        <v>-0.15225225225225231</v>
      </c>
      <c r="M594" t="s">
        <v>330</v>
      </c>
    </row>
    <row r="595" spans="1:13" x14ac:dyDescent="0.3">
      <c r="A595" s="1">
        <v>446646</v>
      </c>
      <c r="B595" s="4">
        <v>43818</v>
      </c>
      <c r="C595">
        <v>45.25</v>
      </c>
      <c r="D595">
        <v>49</v>
      </c>
      <c r="E595">
        <v>42.5</v>
      </c>
      <c r="F595">
        <v>47.1</v>
      </c>
      <c r="G595">
        <v>83460538</v>
      </c>
      <c r="H595" t="s">
        <v>281</v>
      </c>
      <c r="I595" t="s">
        <v>12</v>
      </c>
      <c r="J595">
        <v>0.9</v>
      </c>
      <c r="K595">
        <v>-0.25238095238095237</v>
      </c>
      <c r="L595">
        <v>-0.15238095238095239</v>
      </c>
      <c r="M595" t="s">
        <v>330</v>
      </c>
    </row>
    <row r="596" spans="1:13" x14ac:dyDescent="0.3">
      <c r="A596" s="1">
        <v>446705</v>
      </c>
      <c r="B596" s="4">
        <v>43909</v>
      </c>
      <c r="C596">
        <v>58</v>
      </c>
      <c r="D596">
        <v>61</v>
      </c>
      <c r="E596">
        <v>55.5</v>
      </c>
      <c r="F596">
        <v>57</v>
      </c>
      <c r="G596">
        <v>27460399</v>
      </c>
      <c r="H596" t="s">
        <v>281</v>
      </c>
      <c r="I596" t="s">
        <v>12</v>
      </c>
      <c r="J596">
        <v>0.9</v>
      </c>
      <c r="K596">
        <v>-0.2244897959183674</v>
      </c>
      <c r="L596">
        <v>-0.1244897959183674</v>
      </c>
      <c r="M596" t="s">
        <v>330</v>
      </c>
    </row>
    <row r="597" spans="1:13" x14ac:dyDescent="0.3">
      <c r="A597" s="1">
        <v>447892</v>
      </c>
      <c r="B597" s="4">
        <v>45141</v>
      </c>
      <c r="C597">
        <v>38150</v>
      </c>
      <c r="D597">
        <v>38300</v>
      </c>
      <c r="E597">
        <v>37500</v>
      </c>
      <c r="F597">
        <v>38150</v>
      </c>
      <c r="G597">
        <v>266000</v>
      </c>
      <c r="H597" t="s">
        <v>282</v>
      </c>
      <c r="I597" t="s">
        <v>12</v>
      </c>
      <c r="J597">
        <v>0.8</v>
      </c>
      <c r="K597">
        <v>-0.31643074717792508</v>
      </c>
      <c r="L597">
        <v>-0.11643074717792511</v>
      </c>
      <c r="M597" t="s">
        <v>330</v>
      </c>
    </row>
    <row r="598" spans="1:13" x14ac:dyDescent="0.3">
      <c r="A598" s="1">
        <v>448136</v>
      </c>
      <c r="B598" s="4">
        <v>45371</v>
      </c>
      <c r="C598">
        <v>98470</v>
      </c>
      <c r="D598">
        <v>98470</v>
      </c>
      <c r="E598">
        <v>98470</v>
      </c>
      <c r="F598">
        <v>98470</v>
      </c>
      <c r="G598">
        <v>764694</v>
      </c>
      <c r="H598" t="s">
        <v>283</v>
      </c>
      <c r="I598" t="s">
        <v>12</v>
      </c>
      <c r="J598">
        <v>0.7</v>
      </c>
      <c r="K598">
        <v>-0.38456249999999997</v>
      </c>
      <c r="L598">
        <v>-8.4562499999999985E-2</v>
      </c>
    </row>
    <row r="599" spans="1:13" x14ac:dyDescent="0.3">
      <c r="A599" s="1">
        <v>448252</v>
      </c>
      <c r="B599" s="4">
        <v>42010</v>
      </c>
      <c r="C599">
        <v>291.2</v>
      </c>
      <c r="D599">
        <v>291.2</v>
      </c>
      <c r="E599">
        <v>291.2</v>
      </c>
      <c r="F599">
        <v>291.2</v>
      </c>
      <c r="G599">
        <v>35</v>
      </c>
      <c r="H599" t="s">
        <v>284</v>
      </c>
      <c r="I599" t="s">
        <v>26</v>
      </c>
      <c r="J599">
        <v>0.85</v>
      </c>
      <c r="K599">
        <v>-0.1670480549199086</v>
      </c>
      <c r="L599">
        <v>-1.7048054919908569E-2</v>
      </c>
      <c r="M599" t="s">
        <v>331</v>
      </c>
    </row>
    <row r="600" spans="1:13" x14ac:dyDescent="0.3">
      <c r="A600" s="1">
        <v>449176</v>
      </c>
      <c r="B600" s="4">
        <v>45257</v>
      </c>
      <c r="C600">
        <v>37205</v>
      </c>
      <c r="D600">
        <v>37205</v>
      </c>
      <c r="E600">
        <v>30558.5</v>
      </c>
      <c r="F600">
        <v>32562</v>
      </c>
      <c r="G600">
        <v>2790</v>
      </c>
      <c r="H600" t="s">
        <v>284</v>
      </c>
      <c r="I600" t="s">
        <v>26</v>
      </c>
      <c r="J600">
        <v>0.85</v>
      </c>
      <c r="K600">
        <v>-0.18327522636634971</v>
      </c>
      <c r="L600">
        <v>-3.3275226366349719E-2</v>
      </c>
    </row>
    <row r="601" spans="1:13" x14ac:dyDescent="0.3">
      <c r="A601" s="1">
        <v>449214</v>
      </c>
      <c r="B601" s="6">
        <v>45315</v>
      </c>
      <c r="C601" s="7">
        <v>16400</v>
      </c>
      <c r="D601" s="7">
        <v>17661.5</v>
      </c>
      <c r="E601" s="7">
        <v>16400</v>
      </c>
      <c r="F601" s="7">
        <v>17383</v>
      </c>
      <c r="G601" s="7">
        <v>705</v>
      </c>
      <c r="H601" s="7" t="s">
        <v>284</v>
      </c>
      <c r="I601" s="7" t="s">
        <v>26</v>
      </c>
      <c r="J601" s="7">
        <v>0.85</v>
      </c>
      <c r="K601" s="7">
        <v>-0.66407714456876721</v>
      </c>
      <c r="L601" s="7">
        <v>-0.51407714456876719</v>
      </c>
      <c r="M601" s="7" t="s">
        <v>329</v>
      </c>
    </row>
    <row r="602" spans="1:13" x14ac:dyDescent="0.3">
      <c r="A602" s="1">
        <v>449318</v>
      </c>
      <c r="B602" s="6">
        <v>44126</v>
      </c>
      <c r="C602" s="7">
        <v>3976</v>
      </c>
      <c r="D602" s="7">
        <v>4037</v>
      </c>
      <c r="E602" s="7">
        <v>3976</v>
      </c>
      <c r="F602" s="7">
        <v>4037</v>
      </c>
      <c r="G602" s="7">
        <v>43</v>
      </c>
      <c r="H602" s="7" t="s">
        <v>285</v>
      </c>
      <c r="I602" s="7" t="s">
        <v>26</v>
      </c>
      <c r="J602" s="7">
        <v>0.85</v>
      </c>
      <c r="K602" s="7">
        <v>-0.4683961021859363</v>
      </c>
      <c r="L602" s="7">
        <v>-0.31839610218593628</v>
      </c>
      <c r="M602" s="7" t="s">
        <v>329</v>
      </c>
    </row>
    <row r="603" spans="1:13" x14ac:dyDescent="0.3">
      <c r="A603" s="1">
        <v>450350</v>
      </c>
      <c r="B603" s="4">
        <v>43745</v>
      </c>
      <c r="C603">
        <v>38.200000000000003</v>
      </c>
      <c r="D603">
        <v>38.200000000000003</v>
      </c>
      <c r="E603">
        <v>38.200000000000003</v>
      </c>
      <c r="F603">
        <v>38.200000000000003</v>
      </c>
      <c r="G603">
        <v>100000000</v>
      </c>
      <c r="H603" t="s">
        <v>286</v>
      </c>
      <c r="I603" t="s">
        <v>15</v>
      </c>
      <c r="J603">
        <v>0.8</v>
      </c>
      <c r="K603">
        <v>-0.44637681159420278</v>
      </c>
      <c r="L603">
        <v>-0.24637681159420291</v>
      </c>
    </row>
    <row r="604" spans="1:13" x14ac:dyDescent="0.3">
      <c r="A604" s="1">
        <v>450355</v>
      </c>
      <c r="B604" s="4">
        <v>43791</v>
      </c>
      <c r="C604">
        <v>30</v>
      </c>
      <c r="D604">
        <v>30</v>
      </c>
      <c r="E604">
        <v>25.5</v>
      </c>
      <c r="F604">
        <v>25.6</v>
      </c>
      <c r="G604">
        <v>1503208</v>
      </c>
      <c r="H604" t="s">
        <v>286</v>
      </c>
      <c r="I604" t="s">
        <v>15</v>
      </c>
      <c r="J604">
        <v>0.8</v>
      </c>
      <c r="K604">
        <v>-0.34358974358974359</v>
      </c>
      <c r="L604">
        <v>-0.14358974358974361</v>
      </c>
    </row>
    <row r="605" spans="1:13" x14ac:dyDescent="0.3">
      <c r="A605" s="1">
        <v>450947</v>
      </c>
      <c r="B605" s="4">
        <v>43789</v>
      </c>
      <c r="C605">
        <v>26</v>
      </c>
      <c r="D605">
        <v>26</v>
      </c>
      <c r="E605">
        <v>26</v>
      </c>
      <c r="F605">
        <v>26</v>
      </c>
      <c r="G605">
        <v>2160000</v>
      </c>
      <c r="H605" t="s">
        <v>287</v>
      </c>
      <c r="I605" t="s">
        <v>15</v>
      </c>
      <c r="J605">
        <v>0.8</v>
      </c>
      <c r="K605">
        <v>-0.71739130434782616</v>
      </c>
      <c r="L605">
        <v>-0.51739130434782621</v>
      </c>
    </row>
    <row r="606" spans="1:13" x14ac:dyDescent="0.3">
      <c r="A606" s="1">
        <v>451621</v>
      </c>
      <c r="B606" s="4">
        <v>44847</v>
      </c>
      <c r="C606">
        <v>56.3</v>
      </c>
      <c r="D606">
        <v>56.99</v>
      </c>
      <c r="E606">
        <v>55.6</v>
      </c>
      <c r="F606">
        <v>55.9</v>
      </c>
      <c r="G606">
        <v>19723518</v>
      </c>
      <c r="H606" t="s">
        <v>287</v>
      </c>
      <c r="I606" t="s">
        <v>25</v>
      </c>
      <c r="J606">
        <v>0.9</v>
      </c>
      <c r="K606">
        <v>-0.1126984126984127</v>
      </c>
      <c r="L606">
        <v>-1.2698412698412761E-2</v>
      </c>
      <c r="M606" t="s">
        <v>330</v>
      </c>
    </row>
    <row r="607" spans="1:13" x14ac:dyDescent="0.3">
      <c r="A607" s="1">
        <v>451999</v>
      </c>
      <c r="B607" s="4">
        <v>43749</v>
      </c>
      <c r="C607">
        <v>42.75</v>
      </c>
      <c r="D607">
        <v>42.75</v>
      </c>
      <c r="E607">
        <v>42.75</v>
      </c>
      <c r="F607">
        <v>42.75</v>
      </c>
      <c r="G607">
        <v>2034000</v>
      </c>
      <c r="H607" t="s">
        <v>288</v>
      </c>
      <c r="I607" t="s">
        <v>15</v>
      </c>
      <c r="J607">
        <v>0.8</v>
      </c>
      <c r="K607">
        <v>-0.397887323943662</v>
      </c>
      <c r="L607">
        <v>-0.19788732394366201</v>
      </c>
    </row>
    <row r="608" spans="1:13" x14ac:dyDescent="0.3">
      <c r="A608" s="1">
        <v>452001</v>
      </c>
      <c r="B608" s="4">
        <v>43796</v>
      </c>
      <c r="C608">
        <v>26.25</v>
      </c>
      <c r="D608">
        <v>26.25</v>
      </c>
      <c r="E608">
        <v>26.25</v>
      </c>
      <c r="F608">
        <v>26.25</v>
      </c>
      <c r="G608">
        <v>43524000</v>
      </c>
      <c r="H608" t="s">
        <v>288</v>
      </c>
      <c r="I608" t="s">
        <v>15</v>
      </c>
      <c r="J608">
        <v>0.8</v>
      </c>
      <c r="K608">
        <v>-0.23469387755102031</v>
      </c>
      <c r="L608">
        <v>-3.469387755102038E-2</v>
      </c>
    </row>
    <row r="609" spans="1:13" x14ac:dyDescent="0.3">
      <c r="A609" s="1">
        <v>452530</v>
      </c>
      <c r="B609" s="4">
        <v>44663</v>
      </c>
      <c r="C609">
        <v>40</v>
      </c>
      <c r="D609">
        <v>40.6</v>
      </c>
      <c r="E609">
        <v>40</v>
      </c>
      <c r="F609">
        <v>40.44</v>
      </c>
      <c r="G609">
        <v>11177577</v>
      </c>
      <c r="H609" t="s">
        <v>288</v>
      </c>
      <c r="I609" t="s">
        <v>25</v>
      </c>
      <c r="J609">
        <v>0.9</v>
      </c>
      <c r="K609">
        <v>-0.15024164740491711</v>
      </c>
      <c r="L609">
        <v>-5.02416474049171E-2</v>
      </c>
      <c r="M609" t="s">
        <v>330</v>
      </c>
    </row>
    <row r="610" spans="1:13" x14ac:dyDescent="0.3">
      <c r="A610" s="1">
        <v>452609</v>
      </c>
      <c r="B610" s="4">
        <v>44790</v>
      </c>
      <c r="C610">
        <v>30.11</v>
      </c>
      <c r="D610">
        <v>32.6</v>
      </c>
      <c r="E610">
        <v>29.5</v>
      </c>
      <c r="F610">
        <v>30.4</v>
      </c>
      <c r="G610">
        <v>1340989747</v>
      </c>
      <c r="H610" t="s">
        <v>288</v>
      </c>
      <c r="I610" t="s">
        <v>25</v>
      </c>
      <c r="J610">
        <v>0.9</v>
      </c>
      <c r="K610">
        <v>-0.1188405797101449</v>
      </c>
      <c r="L610">
        <v>-1.884057971014497E-2</v>
      </c>
    </row>
    <row r="611" spans="1:13" x14ac:dyDescent="0.3">
      <c r="A611" s="1">
        <v>452647</v>
      </c>
      <c r="B611" s="4">
        <v>44847</v>
      </c>
      <c r="C611">
        <v>23</v>
      </c>
      <c r="D611">
        <v>23.3</v>
      </c>
      <c r="E611">
        <v>22.3</v>
      </c>
      <c r="F611">
        <v>23.085000000000001</v>
      </c>
      <c r="G611">
        <v>188338365</v>
      </c>
      <c r="H611" t="s">
        <v>288</v>
      </c>
      <c r="I611" t="s">
        <v>25</v>
      </c>
      <c r="J611">
        <v>0.9</v>
      </c>
      <c r="K611">
        <v>-0.23937397034596369</v>
      </c>
      <c r="L611">
        <v>-0.1393739703459638</v>
      </c>
      <c r="M611" t="s">
        <v>330</v>
      </c>
    </row>
    <row r="612" spans="1:13" x14ac:dyDescent="0.3">
      <c r="A612" s="1">
        <v>452768</v>
      </c>
      <c r="B612" s="4">
        <v>45029</v>
      </c>
      <c r="C612">
        <v>22.05</v>
      </c>
      <c r="D612">
        <v>23.55</v>
      </c>
      <c r="E612">
        <v>22.05</v>
      </c>
      <c r="F612">
        <v>23.17</v>
      </c>
      <c r="G612">
        <v>29684409</v>
      </c>
      <c r="H612" t="s">
        <v>288</v>
      </c>
      <c r="I612" t="s">
        <v>25</v>
      </c>
      <c r="J612">
        <v>0.9</v>
      </c>
      <c r="K612">
        <v>-0.23657331136738061</v>
      </c>
      <c r="L612">
        <v>-0.1365733113673806</v>
      </c>
      <c r="M612" t="s">
        <v>330</v>
      </c>
    </row>
    <row r="613" spans="1:13" x14ac:dyDescent="0.3">
      <c r="A613" s="1">
        <v>452850</v>
      </c>
      <c r="B613" s="4">
        <v>45152</v>
      </c>
      <c r="C613">
        <v>28.5</v>
      </c>
      <c r="D613">
        <v>29.23</v>
      </c>
      <c r="E613">
        <v>25.001000000000001</v>
      </c>
      <c r="F613">
        <v>25.3</v>
      </c>
      <c r="G613">
        <v>64929687</v>
      </c>
      <c r="H613" t="s">
        <v>288</v>
      </c>
      <c r="I613" t="s">
        <v>25</v>
      </c>
      <c r="J613">
        <v>0.9</v>
      </c>
      <c r="K613">
        <v>-0.12</v>
      </c>
      <c r="L613">
        <v>-2.0000000000000021E-2</v>
      </c>
      <c r="M613" t="s">
        <v>330</v>
      </c>
    </row>
    <row r="614" spans="1:13" x14ac:dyDescent="0.3">
      <c r="A614" s="1">
        <v>455081</v>
      </c>
      <c r="B614" s="4">
        <v>43689</v>
      </c>
      <c r="C614">
        <v>34.5</v>
      </c>
      <c r="D614">
        <v>34.5</v>
      </c>
      <c r="E614">
        <v>22</v>
      </c>
      <c r="F614">
        <v>24.1</v>
      </c>
      <c r="G614">
        <v>2310550</v>
      </c>
      <c r="H614" t="s">
        <v>289</v>
      </c>
      <c r="I614" t="s">
        <v>12</v>
      </c>
      <c r="J614">
        <v>0.8</v>
      </c>
      <c r="K614">
        <v>-0.49369747899159672</v>
      </c>
      <c r="L614">
        <v>-0.29369747899159671</v>
      </c>
    </row>
    <row r="615" spans="1:13" x14ac:dyDescent="0.3">
      <c r="A615" s="1">
        <v>456231</v>
      </c>
      <c r="B615" s="4">
        <v>43781</v>
      </c>
      <c r="C615">
        <v>1197.5</v>
      </c>
      <c r="D615">
        <v>1236</v>
      </c>
      <c r="E615">
        <v>1197.5</v>
      </c>
      <c r="F615">
        <v>1236</v>
      </c>
      <c r="G615">
        <v>16</v>
      </c>
      <c r="H615" t="s">
        <v>290</v>
      </c>
      <c r="I615" t="s">
        <v>26</v>
      </c>
      <c r="J615">
        <v>0.85</v>
      </c>
      <c r="K615">
        <v>-0.24031960663798399</v>
      </c>
      <c r="L615">
        <v>-9.0319606637983996E-2</v>
      </c>
    </row>
    <row r="616" spans="1:13" x14ac:dyDescent="0.3">
      <c r="A616" s="1">
        <v>456242</v>
      </c>
      <c r="B616" s="4">
        <v>43922</v>
      </c>
      <c r="C616">
        <v>737</v>
      </c>
      <c r="D616">
        <v>744.5</v>
      </c>
      <c r="E616">
        <v>731.5</v>
      </c>
      <c r="F616">
        <v>734</v>
      </c>
      <c r="G616">
        <v>322</v>
      </c>
      <c r="H616" t="s">
        <v>290</v>
      </c>
      <c r="I616" t="s">
        <v>26</v>
      </c>
      <c r="J616">
        <v>0.85</v>
      </c>
      <c r="K616">
        <v>-0.40758676351896689</v>
      </c>
      <c r="L616">
        <v>-0.25758676351896692</v>
      </c>
    </row>
    <row r="617" spans="1:13" x14ac:dyDescent="0.3">
      <c r="A617" s="1">
        <v>456285</v>
      </c>
      <c r="B617" s="4">
        <v>43993</v>
      </c>
      <c r="C617">
        <v>1295</v>
      </c>
      <c r="D617">
        <v>1295</v>
      </c>
      <c r="E617">
        <v>1142</v>
      </c>
      <c r="F617">
        <v>1143</v>
      </c>
      <c r="G617">
        <v>1332</v>
      </c>
      <c r="H617" t="s">
        <v>290</v>
      </c>
      <c r="I617" t="s">
        <v>26</v>
      </c>
      <c r="J617">
        <v>0.85</v>
      </c>
      <c r="K617">
        <v>-0.194786896794646</v>
      </c>
      <c r="L617">
        <v>-4.4786896794645981E-2</v>
      </c>
    </row>
    <row r="618" spans="1:13" x14ac:dyDescent="0.3">
      <c r="A618" s="1">
        <v>456860</v>
      </c>
      <c r="B618" s="4">
        <v>44873</v>
      </c>
      <c r="C618">
        <v>3490</v>
      </c>
      <c r="D618">
        <v>3490</v>
      </c>
      <c r="E618">
        <v>2748.5</v>
      </c>
      <c r="F618">
        <v>3015.5</v>
      </c>
      <c r="G618">
        <v>22961</v>
      </c>
      <c r="H618" t="s">
        <v>290</v>
      </c>
      <c r="I618" t="s">
        <v>26</v>
      </c>
      <c r="J618">
        <v>0.85</v>
      </c>
      <c r="K618">
        <v>-0.16236111111111109</v>
      </c>
      <c r="L618">
        <v>-1.236111111111104E-2</v>
      </c>
    </row>
    <row r="619" spans="1:13" x14ac:dyDescent="0.3">
      <c r="A619" s="1">
        <v>457218</v>
      </c>
      <c r="B619" s="4">
        <v>45420</v>
      </c>
      <c r="C619">
        <v>9550</v>
      </c>
      <c r="D619">
        <v>10177.5</v>
      </c>
      <c r="E619">
        <v>9525</v>
      </c>
      <c r="F619">
        <v>9751.5</v>
      </c>
      <c r="G619">
        <v>56329</v>
      </c>
      <c r="H619" t="s">
        <v>290</v>
      </c>
      <c r="I619" t="s">
        <v>23</v>
      </c>
      <c r="J619">
        <v>0.85</v>
      </c>
      <c r="K619">
        <v>-0.29835228090372712</v>
      </c>
      <c r="L619">
        <v>-0.1483522809037271</v>
      </c>
    </row>
    <row r="620" spans="1:13" x14ac:dyDescent="0.3">
      <c r="A620" s="1">
        <v>459700</v>
      </c>
      <c r="B620" s="6">
        <v>44074</v>
      </c>
      <c r="C620" s="7">
        <v>3900</v>
      </c>
      <c r="D620" s="7">
        <v>4500</v>
      </c>
      <c r="E620" s="7">
        <v>3900</v>
      </c>
      <c r="F620" s="7">
        <v>4369.5</v>
      </c>
      <c r="G620" s="7">
        <v>26742</v>
      </c>
      <c r="H620" s="7" t="s">
        <v>291</v>
      </c>
      <c r="I620" s="7" t="s">
        <v>12</v>
      </c>
      <c r="J620" s="7">
        <v>0.7</v>
      </c>
      <c r="K620" s="7">
        <v>-0.76284295367581212</v>
      </c>
      <c r="L620" s="7">
        <v>-0.46284295367581207</v>
      </c>
      <c r="M620" s="7" t="s">
        <v>329</v>
      </c>
    </row>
    <row r="621" spans="1:13" x14ac:dyDescent="0.3">
      <c r="A621" s="1">
        <v>460172</v>
      </c>
      <c r="B621" s="4">
        <v>44798</v>
      </c>
      <c r="C621">
        <v>6225</v>
      </c>
      <c r="D621">
        <v>6302</v>
      </c>
      <c r="E621">
        <v>5795</v>
      </c>
      <c r="F621">
        <v>5836.5</v>
      </c>
      <c r="G621">
        <v>13984</v>
      </c>
      <c r="H621" t="s">
        <v>291</v>
      </c>
      <c r="I621" t="s">
        <v>12</v>
      </c>
      <c r="J621">
        <v>0.7</v>
      </c>
      <c r="K621">
        <v>-0.67206068268015173</v>
      </c>
      <c r="L621">
        <v>-0.37206068268015169</v>
      </c>
      <c r="M621" t="s">
        <v>329</v>
      </c>
    </row>
    <row r="622" spans="1:13" x14ac:dyDescent="0.3">
      <c r="A622" s="1">
        <v>461179</v>
      </c>
      <c r="B622" s="6">
        <v>44882</v>
      </c>
      <c r="C622" s="7">
        <v>2958</v>
      </c>
      <c r="D622" s="7">
        <v>3056</v>
      </c>
      <c r="E622" s="7">
        <v>2898.5</v>
      </c>
      <c r="F622" s="7">
        <v>3042</v>
      </c>
      <c r="G622" s="7">
        <v>7973</v>
      </c>
      <c r="H622" s="7" t="s">
        <v>292</v>
      </c>
      <c r="I622" s="7" t="s">
        <v>12</v>
      </c>
      <c r="J622" s="7">
        <v>0.7</v>
      </c>
      <c r="K622" s="7">
        <v>-0.96082900353466094</v>
      </c>
      <c r="L622" s="7">
        <v>-0.6608290035346609</v>
      </c>
      <c r="M622" s="7" t="s">
        <v>329</v>
      </c>
    </row>
    <row r="623" spans="1:13" x14ac:dyDescent="0.3">
      <c r="A623" s="1">
        <v>462199</v>
      </c>
      <c r="B623" s="4">
        <v>44630</v>
      </c>
      <c r="C623">
        <v>5215</v>
      </c>
      <c r="D623">
        <v>5215</v>
      </c>
      <c r="E623">
        <v>5000</v>
      </c>
      <c r="F623">
        <v>5000</v>
      </c>
      <c r="G623">
        <v>87</v>
      </c>
      <c r="H623" t="s">
        <v>293</v>
      </c>
      <c r="I623" t="s">
        <v>12</v>
      </c>
      <c r="J623">
        <v>0.7</v>
      </c>
      <c r="K623">
        <v>-0.32051369164911331</v>
      </c>
      <c r="L623">
        <v>-2.0513691649113212E-2</v>
      </c>
      <c r="M623" t="s">
        <v>331</v>
      </c>
    </row>
    <row r="624" spans="1:13" x14ac:dyDescent="0.3">
      <c r="A624" s="1">
        <v>464303</v>
      </c>
      <c r="B624" s="4">
        <v>41726</v>
      </c>
      <c r="C624">
        <v>51</v>
      </c>
      <c r="D624">
        <v>64</v>
      </c>
      <c r="E624">
        <v>51</v>
      </c>
      <c r="F624">
        <v>63.5</v>
      </c>
      <c r="G624">
        <v>29808865</v>
      </c>
      <c r="H624" t="s">
        <v>294</v>
      </c>
      <c r="I624" t="s">
        <v>15</v>
      </c>
      <c r="J624">
        <v>0.8</v>
      </c>
      <c r="K624">
        <v>-0.29050279329608941</v>
      </c>
      <c r="L624">
        <v>-9.0502793296089457E-2</v>
      </c>
    </row>
    <row r="625" spans="1:12" x14ac:dyDescent="0.3">
      <c r="A625" s="1">
        <v>465531</v>
      </c>
      <c r="B625" s="4">
        <v>43591</v>
      </c>
      <c r="C625">
        <v>110</v>
      </c>
      <c r="D625">
        <v>120</v>
      </c>
      <c r="E625">
        <v>110</v>
      </c>
      <c r="F625">
        <v>120</v>
      </c>
      <c r="G625">
        <v>190027</v>
      </c>
      <c r="H625" t="s">
        <v>294</v>
      </c>
      <c r="I625" t="s">
        <v>15</v>
      </c>
      <c r="J625">
        <v>0.8</v>
      </c>
      <c r="K625">
        <v>-0.23831769768829411</v>
      </c>
      <c r="L625">
        <v>-3.8317697688294183E-2</v>
      </c>
    </row>
    <row r="626" spans="1:12" x14ac:dyDescent="0.3">
      <c r="A626" s="1">
        <v>465601</v>
      </c>
      <c r="B626" s="4">
        <v>43704</v>
      </c>
      <c r="C626">
        <v>100</v>
      </c>
      <c r="D626">
        <v>100</v>
      </c>
      <c r="E626">
        <v>95</v>
      </c>
      <c r="F626">
        <v>95</v>
      </c>
      <c r="G626">
        <v>109700</v>
      </c>
      <c r="H626" t="s">
        <v>294</v>
      </c>
      <c r="I626" t="s">
        <v>15</v>
      </c>
      <c r="J626">
        <v>0.8</v>
      </c>
      <c r="K626">
        <v>-0.29979730974755858</v>
      </c>
      <c r="L626">
        <v>-9.9797309747558627E-2</v>
      </c>
    </row>
    <row r="627" spans="1:12" x14ac:dyDescent="0.3">
      <c r="A627" s="1">
        <v>465612</v>
      </c>
      <c r="B627" s="4">
        <v>43719</v>
      </c>
      <c r="C627">
        <v>85</v>
      </c>
      <c r="D627">
        <v>85</v>
      </c>
      <c r="E627">
        <v>83</v>
      </c>
      <c r="F627">
        <v>85</v>
      </c>
      <c r="G627">
        <v>257178</v>
      </c>
      <c r="H627" t="s">
        <v>294</v>
      </c>
      <c r="I627" t="s">
        <v>15</v>
      </c>
      <c r="J627">
        <v>0.8</v>
      </c>
      <c r="K627">
        <v>-0.37350285608992079</v>
      </c>
      <c r="L627">
        <v>-0.17350285608992089</v>
      </c>
    </row>
    <row r="628" spans="1:12" x14ac:dyDescent="0.3">
      <c r="A628" s="1">
        <v>465722</v>
      </c>
      <c r="B628" s="4">
        <v>43896</v>
      </c>
      <c r="C628">
        <v>76.8</v>
      </c>
      <c r="D628">
        <v>76.8</v>
      </c>
      <c r="E628">
        <v>74.5</v>
      </c>
      <c r="F628">
        <v>76</v>
      </c>
      <c r="G628">
        <v>308823</v>
      </c>
      <c r="H628" t="s">
        <v>294</v>
      </c>
      <c r="I628" t="s">
        <v>15</v>
      </c>
      <c r="J628">
        <v>0.8</v>
      </c>
      <c r="K628">
        <v>-0.4398378477980468</v>
      </c>
      <c r="L628">
        <v>-0.23983784779804679</v>
      </c>
    </row>
    <row r="629" spans="1:12" x14ac:dyDescent="0.3">
      <c r="A629" s="1">
        <v>466993</v>
      </c>
      <c r="B629" s="4">
        <v>41726</v>
      </c>
      <c r="C629">
        <v>60</v>
      </c>
      <c r="D629">
        <v>81.5</v>
      </c>
      <c r="E629">
        <v>60</v>
      </c>
      <c r="F629">
        <v>77.400000000000006</v>
      </c>
      <c r="G629">
        <v>205956149</v>
      </c>
      <c r="H629" t="s">
        <v>295</v>
      </c>
      <c r="I629" t="s">
        <v>36</v>
      </c>
      <c r="J629">
        <v>0.7</v>
      </c>
      <c r="K629">
        <v>-0.30582959641255603</v>
      </c>
      <c r="L629">
        <v>-5.8295964125559818E-3</v>
      </c>
    </row>
    <row r="630" spans="1:12" x14ac:dyDescent="0.3">
      <c r="A630" s="1">
        <v>468474</v>
      </c>
      <c r="B630" s="4">
        <v>41726</v>
      </c>
      <c r="C630">
        <v>5.75</v>
      </c>
      <c r="D630">
        <v>6.5</v>
      </c>
      <c r="E630">
        <v>5.22</v>
      </c>
      <c r="F630">
        <v>5.24</v>
      </c>
      <c r="G630">
        <v>675006861</v>
      </c>
      <c r="H630" t="s">
        <v>296</v>
      </c>
      <c r="I630" t="s">
        <v>67</v>
      </c>
      <c r="J630">
        <v>0.7</v>
      </c>
      <c r="K630">
        <v>-0.53422222222222215</v>
      </c>
      <c r="L630">
        <v>-0.23422222222222211</v>
      </c>
    </row>
    <row r="631" spans="1:12" x14ac:dyDescent="0.3">
      <c r="A631" s="1">
        <v>469661</v>
      </c>
      <c r="B631" s="4">
        <v>43544</v>
      </c>
      <c r="C631">
        <v>1.85</v>
      </c>
      <c r="D631">
        <v>1.85</v>
      </c>
      <c r="E631">
        <v>1.85</v>
      </c>
      <c r="F631">
        <v>1.85</v>
      </c>
      <c r="G631">
        <v>257054</v>
      </c>
      <c r="H631" t="s">
        <v>296</v>
      </c>
      <c r="I631" t="s">
        <v>67</v>
      </c>
      <c r="J631">
        <v>0.7</v>
      </c>
      <c r="K631">
        <v>-0.32727272727272733</v>
      </c>
      <c r="L631">
        <v>-2.727272727272723E-2</v>
      </c>
    </row>
    <row r="632" spans="1:12" x14ac:dyDescent="0.3">
      <c r="A632" s="1">
        <v>469687</v>
      </c>
      <c r="B632" s="4">
        <v>43591</v>
      </c>
      <c r="C632">
        <v>1.9</v>
      </c>
      <c r="D632">
        <v>1.9</v>
      </c>
      <c r="E632">
        <v>1.8</v>
      </c>
      <c r="F632">
        <v>1.85</v>
      </c>
      <c r="G632">
        <v>8521011</v>
      </c>
      <c r="H632" t="s">
        <v>296</v>
      </c>
      <c r="I632" t="s">
        <v>67</v>
      </c>
      <c r="J632">
        <v>0.7</v>
      </c>
      <c r="K632">
        <v>-0.32727272727272733</v>
      </c>
      <c r="L632">
        <v>-2.727272727272723E-2</v>
      </c>
    </row>
    <row r="633" spans="1:12" x14ac:dyDescent="0.3">
      <c r="A633" s="1">
        <v>469747</v>
      </c>
      <c r="B633" s="4">
        <v>43693</v>
      </c>
      <c r="C633">
        <v>1.82</v>
      </c>
      <c r="D633">
        <v>2</v>
      </c>
      <c r="E633">
        <v>1.8</v>
      </c>
      <c r="F633">
        <v>1.8</v>
      </c>
      <c r="G633">
        <v>14951762</v>
      </c>
      <c r="H633" t="s">
        <v>296</v>
      </c>
      <c r="I633" t="s">
        <v>67</v>
      </c>
      <c r="J633">
        <v>0.7</v>
      </c>
      <c r="K633">
        <v>-0.34545454545454551</v>
      </c>
      <c r="L633">
        <v>-4.5454545454545407E-2</v>
      </c>
    </row>
    <row r="634" spans="1:12" x14ac:dyDescent="0.3">
      <c r="A634" s="1">
        <v>469753</v>
      </c>
      <c r="B634" s="4">
        <v>43704</v>
      </c>
      <c r="C634">
        <v>1.61</v>
      </c>
      <c r="D634">
        <v>1.61</v>
      </c>
      <c r="E634">
        <v>1.5</v>
      </c>
      <c r="F634">
        <v>1.5</v>
      </c>
      <c r="G634">
        <v>21370000</v>
      </c>
      <c r="H634" t="s">
        <v>296</v>
      </c>
      <c r="I634" t="s">
        <v>67</v>
      </c>
      <c r="J634">
        <v>0.7</v>
      </c>
      <c r="K634">
        <v>-0.45454545454545459</v>
      </c>
      <c r="L634">
        <v>-0.15454545454545451</v>
      </c>
    </row>
    <row r="635" spans="1:12" x14ac:dyDescent="0.3">
      <c r="A635" s="1">
        <v>469764</v>
      </c>
      <c r="B635" s="4">
        <v>43719</v>
      </c>
      <c r="C635">
        <v>1.8</v>
      </c>
      <c r="D635">
        <v>1.9</v>
      </c>
      <c r="E635">
        <v>1.8</v>
      </c>
      <c r="F635">
        <v>1.82</v>
      </c>
      <c r="G635">
        <v>8010000</v>
      </c>
      <c r="H635" t="s">
        <v>296</v>
      </c>
      <c r="I635" t="s">
        <v>67</v>
      </c>
      <c r="J635">
        <v>0.7</v>
      </c>
      <c r="K635">
        <v>-0.33818181818181808</v>
      </c>
      <c r="L635">
        <v>-3.8181818181818088E-2</v>
      </c>
    </row>
    <row r="636" spans="1:12" x14ac:dyDescent="0.3">
      <c r="A636" s="1">
        <v>471175</v>
      </c>
      <c r="B636" s="4">
        <v>41726</v>
      </c>
      <c r="C636">
        <v>57</v>
      </c>
      <c r="D636">
        <v>64</v>
      </c>
      <c r="E636">
        <v>50</v>
      </c>
      <c r="F636">
        <v>61</v>
      </c>
      <c r="G636">
        <v>64958837</v>
      </c>
      <c r="H636" t="s">
        <v>297</v>
      </c>
      <c r="I636" t="s">
        <v>15</v>
      </c>
      <c r="J636">
        <v>0.8</v>
      </c>
      <c r="K636">
        <v>-0.28235294117647058</v>
      </c>
      <c r="L636">
        <v>-8.2352941176470629E-2</v>
      </c>
    </row>
    <row r="637" spans="1:12" x14ac:dyDescent="0.3">
      <c r="A637" s="1">
        <v>472403</v>
      </c>
      <c r="B637" s="4">
        <v>43697</v>
      </c>
      <c r="C637">
        <v>163</v>
      </c>
      <c r="D637">
        <v>165</v>
      </c>
      <c r="E637">
        <v>163</v>
      </c>
      <c r="F637">
        <v>126.4</v>
      </c>
      <c r="G637">
        <v>2700</v>
      </c>
      <c r="H637" t="s">
        <v>297</v>
      </c>
      <c r="I637" t="s">
        <v>15</v>
      </c>
      <c r="J637">
        <v>0.8</v>
      </c>
      <c r="K637">
        <v>-0.27356321839080461</v>
      </c>
      <c r="L637">
        <v>-7.3563218390804597E-2</v>
      </c>
    </row>
    <row r="638" spans="1:12" x14ac:dyDescent="0.3">
      <c r="A638" s="1">
        <v>472416</v>
      </c>
      <c r="B638" s="4">
        <v>43725</v>
      </c>
      <c r="C638">
        <v>141</v>
      </c>
      <c r="D638">
        <v>141</v>
      </c>
      <c r="E638">
        <v>95</v>
      </c>
      <c r="F638">
        <v>95</v>
      </c>
      <c r="G638">
        <v>87090</v>
      </c>
      <c r="H638" t="s">
        <v>297</v>
      </c>
      <c r="I638" t="s">
        <v>15</v>
      </c>
      <c r="J638">
        <v>0.8</v>
      </c>
      <c r="K638">
        <v>-0.32862190812720848</v>
      </c>
      <c r="L638">
        <v>-0.1286219081272085</v>
      </c>
    </row>
    <row r="639" spans="1:12" x14ac:dyDescent="0.3">
      <c r="A639" s="1">
        <v>472505</v>
      </c>
      <c r="B639" s="4">
        <v>43893</v>
      </c>
      <c r="C639">
        <v>130</v>
      </c>
      <c r="D639">
        <v>130</v>
      </c>
      <c r="E639">
        <v>130</v>
      </c>
      <c r="F639">
        <v>130</v>
      </c>
      <c r="G639">
        <v>5260</v>
      </c>
      <c r="H639" t="s">
        <v>297</v>
      </c>
      <c r="I639" t="s">
        <v>15</v>
      </c>
      <c r="J639">
        <v>0.8</v>
      </c>
      <c r="K639">
        <v>-0.2388937027235897</v>
      </c>
      <c r="L639">
        <v>-3.8893702723589718E-2</v>
      </c>
    </row>
    <row r="640" spans="1:12" x14ac:dyDescent="0.3">
      <c r="A640" s="1">
        <v>472507</v>
      </c>
      <c r="B640" s="4">
        <v>43896</v>
      </c>
      <c r="C640">
        <v>125</v>
      </c>
      <c r="D640">
        <v>125</v>
      </c>
      <c r="E640">
        <v>120</v>
      </c>
      <c r="F640">
        <v>120</v>
      </c>
      <c r="G640">
        <v>23000</v>
      </c>
      <c r="H640" t="s">
        <v>297</v>
      </c>
      <c r="I640" t="s">
        <v>15</v>
      </c>
      <c r="J640">
        <v>0.8</v>
      </c>
      <c r="K640">
        <v>-0.29744034097562122</v>
      </c>
      <c r="L640">
        <v>-9.7440340975621265E-2</v>
      </c>
    </row>
    <row r="641" spans="1:13" x14ac:dyDescent="0.3">
      <c r="A641" s="1">
        <v>472524</v>
      </c>
      <c r="B641" s="4">
        <v>43951</v>
      </c>
      <c r="C641">
        <v>120</v>
      </c>
      <c r="D641">
        <v>120</v>
      </c>
      <c r="E641">
        <v>99</v>
      </c>
      <c r="F641">
        <v>100</v>
      </c>
      <c r="G641">
        <v>386002</v>
      </c>
      <c r="H641" t="s">
        <v>297</v>
      </c>
      <c r="I641" t="s">
        <v>15</v>
      </c>
      <c r="J641">
        <v>0.8</v>
      </c>
      <c r="K641">
        <v>-0.2307692307692307</v>
      </c>
      <c r="L641">
        <v>-3.0769230769230771E-2</v>
      </c>
    </row>
    <row r="642" spans="1:13" x14ac:dyDescent="0.3">
      <c r="A642" s="1">
        <v>472661</v>
      </c>
      <c r="B642" s="4">
        <v>44180</v>
      </c>
      <c r="C642">
        <v>82.9</v>
      </c>
      <c r="D642">
        <v>82.9</v>
      </c>
      <c r="E642">
        <v>64</v>
      </c>
      <c r="F642">
        <v>64</v>
      </c>
      <c r="G642">
        <v>536868</v>
      </c>
      <c r="H642" t="s">
        <v>297</v>
      </c>
      <c r="I642" t="s">
        <v>15</v>
      </c>
      <c r="J642">
        <v>0.8</v>
      </c>
      <c r="K642">
        <v>-0.21951219512195119</v>
      </c>
      <c r="L642">
        <v>-1.951219512195124E-2</v>
      </c>
    </row>
    <row r="643" spans="1:13" x14ac:dyDescent="0.3">
      <c r="A643" s="1">
        <v>473106</v>
      </c>
      <c r="B643" s="4">
        <v>41726</v>
      </c>
      <c r="C643">
        <v>59</v>
      </c>
      <c r="D643">
        <v>60.95</v>
      </c>
      <c r="E643">
        <v>50</v>
      </c>
      <c r="F643">
        <v>57.5</v>
      </c>
      <c r="G643">
        <v>7362632</v>
      </c>
      <c r="H643" t="s">
        <v>298</v>
      </c>
      <c r="I643" t="s">
        <v>67</v>
      </c>
      <c r="J643">
        <v>0.7</v>
      </c>
      <c r="K643">
        <v>-0.32352941176470579</v>
      </c>
      <c r="L643">
        <v>-2.3529411764705799E-2</v>
      </c>
    </row>
    <row r="644" spans="1:13" x14ac:dyDescent="0.3">
      <c r="A644" s="1">
        <v>473981</v>
      </c>
      <c r="B644" s="4">
        <v>44778</v>
      </c>
      <c r="C644">
        <v>678.5</v>
      </c>
      <c r="D644">
        <v>699.5</v>
      </c>
      <c r="E644">
        <v>660.5</v>
      </c>
      <c r="F644">
        <v>670.5</v>
      </c>
      <c r="G644">
        <v>69033</v>
      </c>
      <c r="H644" t="s">
        <v>299</v>
      </c>
      <c r="I644" t="s">
        <v>26</v>
      </c>
      <c r="J644">
        <v>0.85</v>
      </c>
      <c r="K644">
        <v>-0.16448598130841119</v>
      </c>
      <c r="L644">
        <v>-1.448598130841117E-2</v>
      </c>
    </row>
    <row r="645" spans="1:13" x14ac:dyDescent="0.3">
      <c r="A645" s="1">
        <v>474042</v>
      </c>
      <c r="B645" s="4">
        <v>44869</v>
      </c>
      <c r="C645">
        <v>367</v>
      </c>
      <c r="D645">
        <v>380</v>
      </c>
      <c r="E645">
        <v>345</v>
      </c>
      <c r="F645">
        <v>362.5</v>
      </c>
      <c r="G645">
        <v>87604</v>
      </c>
      <c r="H645" t="s">
        <v>299</v>
      </c>
      <c r="I645" t="s">
        <v>26</v>
      </c>
      <c r="J645">
        <v>0.85</v>
      </c>
      <c r="K645">
        <v>-0.34860736747529197</v>
      </c>
      <c r="L645">
        <v>-0.19860736747529201</v>
      </c>
    </row>
    <row r="646" spans="1:13" x14ac:dyDescent="0.3">
      <c r="A646" s="1">
        <v>474276</v>
      </c>
      <c r="B646" s="4">
        <v>45222</v>
      </c>
      <c r="C646">
        <v>1390</v>
      </c>
      <c r="D646">
        <v>1470</v>
      </c>
      <c r="E646">
        <v>1242.5</v>
      </c>
      <c r="F646">
        <v>1256</v>
      </c>
      <c r="G646">
        <v>2588</v>
      </c>
      <c r="H646" t="s">
        <v>299</v>
      </c>
      <c r="I646" t="s">
        <v>26</v>
      </c>
      <c r="J646">
        <v>0.85</v>
      </c>
      <c r="K646">
        <v>-0.15306810519217809</v>
      </c>
      <c r="L646">
        <v>-3.0681051921780389E-3</v>
      </c>
    </row>
    <row r="647" spans="1:13" x14ac:dyDescent="0.3">
      <c r="A647" s="1">
        <v>474892</v>
      </c>
      <c r="B647" s="4">
        <v>43927</v>
      </c>
      <c r="C647">
        <v>49</v>
      </c>
      <c r="D647">
        <v>49</v>
      </c>
      <c r="E647">
        <v>49</v>
      </c>
      <c r="F647">
        <v>49</v>
      </c>
      <c r="G647">
        <v>774680</v>
      </c>
      <c r="H647" t="s">
        <v>300</v>
      </c>
      <c r="I647" t="s">
        <v>25</v>
      </c>
      <c r="J647">
        <v>0.9</v>
      </c>
      <c r="K647">
        <v>-0.36363636363636359</v>
      </c>
      <c r="L647">
        <v>-0.26363636363636372</v>
      </c>
    </row>
    <row r="648" spans="1:13" x14ac:dyDescent="0.3">
      <c r="A648" s="1">
        <v>476098</v>
      </c>
      <c r="B648" s="4">
        <v>44721</v>
      </c>
      <c r="C648">
        <v>203</v>
      </c>
      <c r="D648">
        <v>203.3</v>
      </c>
      <c r="E648">
        <v>185.5</v>
      </c>
      <c r="F648">
        <v>195.15</v>
      </c>
      <c r="G648">
        <v>1941571535</v>
      </c>
      <c r="H648" t="s">
        <v>301</v>
      </c>
      <c r="I648" t="s">
        <v>25</v>
      </c>
      <c r="J648">
        <v>0.9</v>
      </c>
      <c r="K648">
        <v>-0.10890410958904111</v>
      </c>
      <c r="L648">
        <v>-8.9041095890410871E-3</v>
      </c>
    </row>
    <row r="649" spans="1:13" x14ac:dyDescent="0.3">
      <c r="A649" s="1">
        <v>477386</v>
      </c>
      <c r="B649" s="4">
        <v>44721</v>
      </c>
      <c r="C649">
        <v>155</v>
      </c>
      <c r="D649">
        <v>157</v>
      </c>
      <c r="E649">
        <v>142</v>
      </c>
      <c r="F649">
        <v>151</v>
      </c>
      <c r="G649">
        <v>84489256</v>
      </c>
      <c r="H649" t="s">
        <v>302</v>
      </c>
      <c r="I649" t="s">
        <v>25</v>
      </c>
      <c r="J649">
        <v>0.9</v>
      </c>
      <c r="K649">
        <v>-0.14447592067988671</v>
      </c>
      <c r="L649">
        <v>-4.4475920679886698E-2</v>
      </c>
    </row>
    <row r="650" spans="1:13" x14ac:dyDescent="0.3">
      <c r="A650" s="1">
        <v>478275</v>
      </c>
      <c r="B650" s="4">
        <v>44721</v>
      </c>
      <c r="C650">
        <v>150</v>
      </c>
      <c r="D650">
        <v>150.5</v>
      </c>
      <c r="E650">
        <v>133</v>
      </c>
      <c r="F650">
        <v>143.9</v>
      </c>
      <c r="G650">
        <v>7514341</v>
      </c>
      <c r="H650" t="s">
        <v>303</v>
      </c>
      <c r="I650" t="s">
        <v>25</v>
      </c>
      <c r="J650">
        <v>0.9</v>
      </c>
      <c r="K650">
        <v>-0.1633720930232557</v>
      </c>
      <c r="L650">
        <v>-6.3372093023255749E-2</v>
      </c>
    </row>
    <row r="651" spans="1:13" x14ac:dyDescent="0.3">
      <c r="A651" s="1">
        <v>480349</v>
      </c>
      <c r="B651" s="4">
        <v>43689</v>
      </c>
      <c r="C651">
        <v>11</v>
      </c>
      <c r="D651">
        <v>13</v>
      </c>
      <c r="E651">
        <v>10.8</v>
      </c>
      <c r="F651">
        <v>10.85</v>
      </c>
      <c r="G651">
        <v>2247878</v>
      </c>
      <c r="H651" t="s">
        <v>304</v>
      </c>
      <c r="I651" t="s">
        <v>25</v>
      </c>
      <c r="J651">
        <v>0.8</v>
      </c>
      <c r="K651">
        <v>-0.24652777777777779</v>
      </c>
      <c r="L651">
        <v>-4.6527777777777828E-2</v>
      </c>
    </row>
    <row r="652" spans="1:13" x14ac:dyDescent="0.3">
      <c r="A652" s="1">
        <v>481358</v>
      </c>
      <c r="B652" s="4">
        <v>45222</v>
      </c>
      <c r="C652">
        <v>1060</v>
      </c>
      <c r="D652">
        <v>1060</v>
      </c>
      <c r="E652">
        <v>858</v>
      </c>
      <c r="F652">
        <v>866.5</v>
      </c>
      <c r="G652">
        <v>1805949</v>
      </c>
      <c r="H652" t="s">
        <v>304</v>
      </c>
      <c r="I652" t="s">
        <v>26</v>
      </c>
      <c r="J652">
        <v>0.85</v>
      </c>
      <c r="K652">
        <v>-0.22840605520926091</v>
      </c>
      <c r="L652">
        <v>-7.8406055209260916E-2</v>
      </c>
    </row>
    <row r="653" spans="1:13" x14ac:dyDescent="0.3">
      <c r="A653" s="1">
        <v>481511</v>
      </c>
      <c r="B653" s="4">
        <v>43907</v>
      </c>
      <c r="C653">
        <v>1791</v>
      </c>
      <c r="D653">
        <v>1825</v>
      </c>
      <c r="E653">
        <v>1791</v>
      </c>
      <c r="F653">
        <v>1825</v>
      </c>
      <c r="G653">
        <v>495</v>
      </c>
      <c r="H653" t="s">
        <v>305</v>
      </c>
      <c r="I653" t="s">
        <v>26</v>
      </c>
      <c r="J653">
        <v>0.85</v>
      </c>
      <c r="K653">
        <v>-0.1777427348501914</v>
      </c>
      <c r="L653">
        <v>-2.7742734850191408E-2</v>
      </c>
    </row>
    <row r="654" spans="1:13" x14ac:dyDescent="0.3">
      <c r="A654" s="1">
        <v>482465</v>
      </c>
      <c r="B654" s="4">
        <v>41982</v>
      </c>
      <c r="C654">
        <v>105</v>
      </c>
      <c r="D654">
        <v>105</v>
      </c>
      <c r="E654">
        <v>105</v>
      </c>
      <c r="F654">
        <v>105</v>
      </c>
      <c r="G654">
        <v>426</v>
      </c>
      <c r="H654" t="s">
        <v>306</v>
      </c>
      <c r="I654" t="s">
        <v>25</v>
      </c>
      <c r="J654">
        <v>0.8</v>
      </c>
      <c r="K654">
        <v>-0.27958833619210982</v>
      </c>
      <c r="L654">
        <v>-7.958833619210981E-2</v>
      </c>
    </row>
    <row r="655" spans="1:13" x14ac:dyDescent="0.3">
      <c r="A655" s="1">
        <v>482501</v>
      </c>
      <c r="B655" s="4">
        <v>42368</v>
      </c>
      <c r="C655">
        <v>85.7</v>
      </c>
      <c r="D655">
        <v>85.7</v>
      </c>
      <c r="E655">
        <v>85.7</v>
      </c>
      <c r="F655">
        <v>85.7</v>
      </c>
      <c r="G655">
        <v>100</v>
      </c>
      <c r="H655" t="s">
        <v>306</v>
      </c>
      <c r="I655" t="s">
        <v>25</v>
      </c>
      <c r="J655">
        <v>0.8</v>
      </c>
      <c r="K655">
        <v>-0.22090909090909081</v>
      </c>
      <c r="L655">
        <v>-2.0909090909090881E-2</v>
      </c>
    </row>
    <row r="656" spans="1:13" x14ac:dyDescent="0.3">
      <c r="A656" s="1">
        <v>483825</v>
      </c>
      <c r="B656" s="6">
        <v>45315</v>
      </c>
      <c r="C656" s="7">
        <v>13000</v>
      </c>
      <c r="D656" s="7">
        <v>13200</v>
      </c>
      <c r="E656" s="7">
        <v>12643.5</v>
      </c>
      <c r="F656" s="7">
        <v>12744</v>
      </c>
      <c r="G656" s="7">
        <v>3483</v>
      </c>
      <c r="H656" s="7" t="s">
        <v>306</v>
      </c>
      <c r="I656" s="7" t="s">
        <v>25</v>
      </c>
      <c r="J656" s="7">
        <v>0.8</v>
      </c>
      <c r="K656" s="7">
        <v>-0.49358235644744691</v>
      </c>
      <c r="L656" s="7">
        <v>-0.2935823564474469</v>
      </c>
      <c r="M656" s="7" t="s">
        <v>329</v>
      </c>
    </row>
    <row r="657" spans="1:13" x14ac:dyDescent="0.3">
      <c r="A657" s="1">
        <v>484772</v>
      </c>
      <c r="B657" s="4">
        <v>44845</v>
      </c>
      <c r="C657">
        <v>3588.5</v>
      </c>
      <c r="D657">
        <v>3993.5</v>
      </c>
      <c r="E657">
        <v>3588.5</v>
      </c>
      <c r="F657">
        <v>3774.5</v>
      </c>
      <c r="G657">
        <v>20049</v>
      </c>
      <c r="H657" t="s">
        <v>307</v>
      </c>
      <c r="I657" t="s">
        <v>26</v>
      </c>
      <c r="J657">
        <v>0.85</v>
      </c>
      <c r="K657">
        <v>-0.17334647393780109</v>
      </c>
      <c r="L657">
        <v>-2.334647393780109E-2</v>
      </c>
    </row>
    <row r="658" spans="1:13" x14ac:dyDescent="0.3">
      <c r="A658" s="1">
        <v>485174</v>
      </c>
      <c r="B658" s="4">
        <v>43916</v>
      </c>
      <c r="C658">
        <v>223.25</v>
      </c>
      <c r="D658">
        <v>225.5</v>
      </c>
      <c r="E658">
        <v>210</v>
      </c>
      <c r="F658">
        <v>210</v>
      </c>
      <c r="G658">
        <v>897</v>
      </c>
      <c r="H658" t="s">
        <v>308</v>
      </c>
      <c r="I658" t="s">
        <v>25</v>
      </c>
      <c r="J658">
        <v>0.8</v>
      </c>
      <c r="K658">
        <v>-0.5625</v>
      </c>
      <c r="L658">
        <v>-0.36249999999999999</v>
      </c>
    </row>
    <row r="659" spans="1:13" x14ac:dyDescent="0.3">
      <c r="A659" s="1">
        <v>485208</v>
      </c>
      <c r="B659" s="4">
        <v>43980</v>
      </c>
      <c r="C659">
        <v>600</v>
      </c>
      <c r="D659">
        <v>600</v>
      </c>
      <c r="E659">
        <v>355</v>
      </c>
      <c r="F659">
        <v>374</v>
      </c>
      <c r="G659">
        <v>905</v>
      </c>
      <c r="H659" t="s">
        <v>308</v>
      </c>
      <c r="I659" t="s">
        <v>25</v>
      </c>
      <c r="J659">
        <v>0.8</v>
      </c>
      <c r="K659">
        <v>-0.36610169491525418</v>
      </c>
      <c r="L659">
        <v>-0.16610169491525431</v>
      </c>
    </row>
    <row r="660" spans="1:13" x14ac:dyDescent="0.3">
      <c r="A660" s="1">
        <v>488824</v>
      </c>
      <c r="B660" s="4">
        <v>45147</v>
      </c>
      <c r="C660">
        <v>5199</v>
      </c>
      <c r="D660">
        <v>5199</v>
      </c>
      <c r="E660">
        <v>3954</v>
      </c>
      <c r="F660">
        <v>4028</v>
      </c>
      <c r="G660">
        <v>78420</v>
      </c>
      <c r="H660" t="s">
        <v>309</v>
      </c>
      <c r="I660" t="s">
        <v>26</v>
      </c>
      <c r="J660">
        <v>0.85</v>
      </c>
      <c r="K660">
        <v>-0.34901010101010099</v>
      </c>
      <c r="L660">
        <v>-0.199010101010101</v>
      </c>
    </row>
    <row r="661" spans="1:13" x14ac:dyDescent="0.3">
      <c r="A661" s="1">
        <v>488884</v>
      </c>
      <c r="B661" s="4">
        <v>45238</v>
      </c>
      <c r="C661">
        <v>4670</v>
      </c>
      <c r="D661">
        <v>4670</v>
      </c>
      <c r="E661">
        <v>3650</v>
      </c>
      <c r="F661">
        <v>3701.5</v>
      </c>
      <c r="G661">
        <v>36932</v>
      </c>
      <c r="H661" t="s">
        <v>309</v>
      </c>
      <c r="I661" t="s">
        <v>26</v>
      </c>
      <c r="J661">
        <v>0.85</v>
      </c>
      <c r="K661">
        <v>-0.26688453159041392</v>
      </c>
      <c r="L661">
        <v>-0.1168845315904139</v>
      </c>
    </row>
    <row r="662" spans="1:13" x14ac:dyDescent="0.3">
      <c r="A662" s="1">
        <v>488947</v>
      </c>
      <c r="B662" s="4">
        <v>45336</v>
      </c>
      <c r="C662">
        <v>7075</v>
      </c>
      <c r="D662">
        <v>7200</v>
      </c>
      <c r="E662">
        <v>6021</v>
      </c>
      <c r="F662">
        <v>6351.5</v>
      </c>
      <c r="G662">
        <v>30045</v>
      </c>
      <c r="H662" t="s">
        <v>309</v>
      </c>
      <c r="I662" t="s">
        <v>26</v>
      </c>
      <c r="J662">
        <v>0.85</v>
      </c>
      <c r="K662">
        <v>-0.24400404689638749</v>
      </c>
      <c r="L662">
        <v>-9.4004046896387528E-2</v>
      </c>
    </row>
    <row r="663" spans="1:13" x14ac:dyDescent="0.3">
      <c r="A663" s="1">
        <v>489023</v>
      </c>
      <c r="B663" s="4">
        <v>43895</v>
      </c>
      <c r="C663">
        <v>3630</v>
      </c>
      <c r="D663">
        <v>3630</v>
      </c>
      <c r="E663">
        <v>3630</v>
      </c>
      <c r="F663">
        <v>3630</v>
      </c>
      <c r="G663">
        <v>2</v>
      </c>
      <c r="H663" t="s">
        <v>310</v>
      </c>
      <c r="I663" t="s">
        <v>26</v>
      </c>
      <c r="J663">
        <v>0.85</v>
      </c>
      <c r="K663">
        <v>-0.1832602092473844</v>
      </c>
      <c r="L663">
        <v>-3.3260209247384383E-2</v>
      </c>
    </row>
    <row r="664" spans="1:13" x14ac:dyDescent="0.3">
      <c r="A664" s="1">
        <v>489024</v>
      </c>
      <c r="B664" s="4">
        <v>43915</v>
      </c>
      <c r="C664">
        <v>2864.5</v>
      </c>
      <c r="D664">
        <v>2864.5</v>
      </c>
      <c r="E664">
        <v>2864.5</v>
      </c>
      <c r="F664">
        <v>2864.5</v>
      </c>
      <c r="G664">
        <v>300</v>
      </c>
      <c r="H664" t="s">
        <v>310</v>
      </c>
      <c r="I664" t="s">
        <v>26</v>
      </c>
      <c r="J664">
        <v>0.85</v>
      </c>
      <c r="K664">
        <v>-0.21088154269972451</v>
      </c>
      <c r="L664">
        <v>-6.0881542699724463E-2</v>
      </c>
    </row>
    <row r="665" spans="1:13" x14ac:dyDescent="0.3">
      <c r="A665" s="1">
        <v>489104</v>
      </c>
      <c r="B665" s="4">
        <v>44616</v>
      </c>
      <c r="C665">
        <v>11173.5</v>
      </c>
      <c r="D665">
        <v>11173.5</v>
      </c>
      <c r="E665">
        <v>11173.5</v>
      </c>
      <c r="F665">
        <v>11173.5</v>
      </c>
      <c r="G665">
        <v>5</v>
      </c>
      <c r="H665" t="s">
        <v>310</v>
      </c>
      <c r="I665" t="s">
        <v>26</v>
      </c>
      <c r="J665">
        <v>0.85</v>
      </c>
      <c r="K665">
        <v>-0.1564623282500377</v>
      </c>
      <c r="L665">
        <v>-6.4623282500376744E-3</v>
      </c>
    </row>
    <row r="666" spans="1:13" x14ac:dyDescent="0.3">
      <c r="A666" s="1">
        <v>489202</v>
      </c>
      <c r="B666" s="6">
        <v>44882</v>
      </c>
      <c r="C666" s="7">
        <v>2788.5</v>
      </c>
      <c r="D666" s="7">
        <v>2816.5</v>
      </c>
      <c r="E666" s="7">
        <v>2788.5</v>
      </c>
      <c r="F666" s="7">
        <v>2816.5</v>
      </c>
      <c r="G666" s="7">
        <v>2</v>
      </c>
      <c r="H666" s="7" t="s">
        <v>310</v>
      </c>
      <c r="I666" s="7" t="s">
        <v>26</v>
      </c>
      <c r="J666" s="7">
        <v>0.85</v>
      </c>
      <c r="K666" s="7">
        <v>-0.80053116147308778</v>
      </c>
      <c r="L666" s="7">
        <v>-0.65053116147308776</v>
      </c>
      <c r="M666" s="7" t="s">
        <v>329</v>
      </c>
    </row>
    <row r="667" spans="1:13" x14ac:dyDescent="0.3">
      <c r="A667" s="1">
        <v>490284</v>
      </c>
      <c r="B667" s="6">
        <v>44882</v>
      </c>
      <c r="C667" s="7">
        <v>3824</v>
      </c>
      <c r="D667" s="7">
        <v>3938</v>
      </c>
      <c r="E667" s="7">
        <v>3783.5</v>
      </c>
      <c r="F667" s="7">
        <v>3932.5</v>
      </c>
      <c r="G667" s="7">
        <v>32304</v>
      </c>
      <c r="H667" s="7" t="s">
        <v>311</v>
      </c>
      <c r="I667" s="7" t="s">
        <v>12</v>
      </c>
      <c r="J667" s="7">
        <v>0.7</v>
      </c>
      <c r="K667" s="7">
        <v>-0.65466520307354559</v>
      </c>
      <c r="L667" s="7">
        <v>-0.35466520307354549</v>
      </c>
      <c r="M667" s="7" t="s">
        <v>329</v>
      </c>
    </row>
    <row r="668" spans="1:13" x14ac:dyDescent="0.3">
      <c r="A668" s="1">
        <v>493388</v>
      </c>
      <c r="B668" s="4">
        <v>42886</v>
      </c>
      <c r="C668">
        <v>20500000</v>
      </c>
      <c r="D668">
        <v>20500000</v>
      </c>
      <c r="E668">
        <v>20500000</v>
      </c>
      <c r="F668">
        <v>20500000</v>
      </c>
      <c r="G668">
        <v>1</v>
      </c>
      <c r="H668" t="s">
        <v>312</v>
      </c>
      <c r="I668" t="s">
        <v>12</v>
      </c>
      <c r="J668">
        <v>0.8</v>
      </c>
      <c r="K668">
        <v>-0.54696132596685088</v>
      </c>
      <c r="L668">
        <v>-0.34696132596685092</v>
      </c>
      <c r="M668" t="s">
        <v>332</v>
      </c>
    </row>
    <row r="669" spans="1:13" x14ac:dyDescent="0.3">
      <c r="A669" s="1">
        <v>493391</v>
      </c>
      <c r="B669" s="4">
        <v>42955</v>
      </c>
      <c r="C669">
        <v>4.8</v>
      </c>
      <c r="D669">
        <v>5</v>
      </c>
      <c r="E669">
        <v>4.16</v>
      </c>
      <c r="F669">
        <v>4.1900000000000004</v>
      </c>
      <c r="G669">
        <v>12805420</v>
      </c>
      <c r="H669" t="s">
        <v>312</v>
      </c>
      <c r="I669" t="s">
        <v>12</v>
      </c>
      <c r="J669">
        <v>0.8</v>
      </c>
      <c r="K669">
        <v>-0.9999998137777778</v>
      </c>
      <c r="L669">
        <v>-0.79999981377777785</v>
      </c>
      <c r="M669" t="s">
        <v>329</v>
      </c>
    </row>
    <row r="670" spans="1:13" x14ac:dyDescent="0.3">
      <c r="A670" s="1">
        <v>493878</v>
      </c>
      <c r="B670" s="4">
        <v>43689</v>
      </c>
      <c r="C670">
        <v>5.5</v>
      </c>
      <c r="D670">
        <v>6</v>
      </c>
      <c r="E670">
        <v>5.5</v>
      </c>
      <c r="F670">
        <v>5.53</v>
      </c>
      <c r="G670">
        <v>3239926</v>
      </c>
      <c r="H670" t="s">
        <v>312</v>
      </c>
      <c r="I670" t="s">
        <v>12</v>
      </c>
      <c r="J670">
        <v>0.8</v>
      </c>
      <c r="K670">
        <v>-0.27712418300653602</v>
      </c>
      <c r="L670">
        <v>-7.7124183006536007E-2</v>
      </c>
    </row>
    <row r="671" spans="1:13" x14ac:dyDescent="0.3">
      <c r="A671" s="1">
        <v>495087</v>
      </c>
      <c r="B671" s="4">
        <v>43899</v>
      </c>
      <c r="C671">
        <v>2299</v>
      </c>
      <c r="D671">
        <v>2299</v>
      </c>
      <c r="E671">
        <v>1735</v>
      </c>
      <c r="F671">
        <v>1750.5</v>
      </c>
      <c r="G671">
        <v>446</v>
      </c>
      <c r="H671" t="s">
        <v>313</v>
      </c>
      <c r="I671" t="s">
        <v>26</v>
      </c>
      <c r="J671">
        <v>0.85</v>
      </c>
      <c r="K671">
        <v>-0.29086489771116059</v>
      </c>
      <c r="L671">
        <v>-0.14086489771116059</v>
      </c>
    </row>
    <row r="672" spans="1:13" x14ac:dyDescent="0.3">
      <c r="A672" s="1">
        <v>495090</v>
      </c>
      <c r="B672" s="4">
        <v>43902</v>
      </c>
      <c r="C672">
        <v>1300</v>
      </c>
      <c r="D672">
        <v>1450</v>
      </c>
      <c r="E672">
        <v>1180</v>
      </c>
      <c r="F672">
        <v>1325.5</v>
      </c>
      <c r="G672">
        <v>1514</v>
      </c>
      <c r="H672" t="s">
        <v>313</v>
      </c>
      <c r="I672" t="s">
        <v>26</v>
      </c>
      <c r="J672">
        <v>0.85</v>
      </c>
      <c r="K672">
        <v>-0.28908554572271378</v>
      </c>
      <c r="L672">
        <v>-0.13908554572271381</v>
      </c>
    </row>
    <row r="673" spans="1:13" x14ac:dyDescent="0.3">
      <c r="A673" s="1">
        <v>495092</v>
      </c>
      <c r="B673" s="4">
        <v>43906</v>
      </c>
      <c r="C673">
        <v>1479</v>
      </c>
      <c r="D673">
        <v>1479</v>
      </c>
      <c r="E673">
        <v>1180</v>
      </c>
      <c r="F673">
        <v>1227</v>
      </c>
      <c r="G673">
        <v>701</v>
      </c>
      <c r="H673" t="s">
        <v>313</v>
      </c>
      <c r="I673" t="s">
        <v>26</v>
      </c>
      <c r="J673">
        <v>0.85</v>
      </c>
      <c r="K673">
        <v>-0.17206477732793521</v>
      </c>
      <c r="L673">
        <v>-2.2064777327935211E-2</v>
      </c>
    </row>
    <row r="674" spans="1:13" x14ac:dyDescent="0.3">
      <c r="A674" s="1">
        <v>495147</v>
      </c>
      <c r="B674" s="4">
        <v>43993</v>
      </c>
      <c r="C674">
        <v>2150</v>
      </c>
      <c r="D674">
        <v>2150</v>
      </c>
      <c r="E674">
        <v>1801</v>
      </c>
      <c r="F674">
        <v>1865.5</v>
      </c>
      <c r="G674">
        <v>2626</v>
      </c>
      <c r="H674" t="s">
        <v>313</v>
      </c>
      <c r="I674" t="s">
        <v>26</v>
      </c>
      <c r="J674">
        <v>0.85</v>
      </c>
      <c r="K674">
        <v>-0.1524307133121309</v>
      </c>
      <c r="L674">
        <v>-2.43071331213085E-3</v>
      </c>
    </row>
    <row r="675" spans="1:13" x14ac:dyDescent="0.3">
      <c r="A675" s="1">
        <v>495729</v>
      </c>
      <c r="B675" s="6">
        <v>44882</v>
      </c>
      <c r="C675" s="7">
        <v>4350</v>
      </c>
      <c r="D675" s="7">
        <v>4500</v>
      </c>
      <c r="E675" s="7">
        <v>4201</v>
      </c>
      <c r="F675" s="7">
        <v>4401.5</v>
      </c>
      <c r="G675" s="7">
        <v>46508</v>
      </c>
      <c r="H675" s="7" t="s">
        <v>313</v>
      </c>
      <c r="I675" s="7" t="s">
        <v>26</v>
      </c>
      <c r="J675" s="7">
        <v>0.85</v>
      </c>
      <c r="K675" s="7">
        <v>-0.80062058343902875</v>
      </c>
      <c r="L675" s="7">
        <v>-0.65062058343902873</v>
      </c>
      <c r="M675" s="7" t="s">
        <v>329</v>
      </c>
    </row>
    <row r="676" spans="1:13" x14ac:dyDescent="0.3">
      <c r="A676" s="1">
        <v>496014</v>
      </c>
      <c r="B676" s="6">
        <v>45315</v>
      </c>
      <c r="C676" s="7">
        <v>14200</v>
      </c>
      <c r="D676" s="7">
        <v>14200</v>
      </c>
      <c r="E676" s="7">
        <v>13600</v>
      </c>
      <c r="F676" s="7">
        <v>14130.5</v>
      </c>
      <c r="G676" s="7">
        <v>69354</v>
      </c>
      <c r="H676" s="7" t="s">
        <v>313</v>
      </c>
      <c r="I676" s="7" t="s">
        <v>26</v>
      </c>
      <c r="J676" s="7">
        <v>0.85</v>
      </c>
      <c r="K676" s="7">
        <v>-0.65279620620177892</v>
      </c>
      <c r="L676" s="7">
        <v>-0.50279620620177889</v>
      </c>
      <c r="M676" s="7" t="s">
        <v>329</v>
      </c>
    </row>
    <row r="677" spans="1:13" x14ac:dyDescent="0.3">
      <c r="A677" s="1">
        <v>496095</v>
      </c>
      <c r="B677" s="4">
        <v>43887</v>
      </c>
      <c r="C677">
        <v>994</v>
      </c>
      <c r="D677">
        <v>994</v>
      </c>
      <c r="E677">
        <v>994</v>
      </c>
      <c r="F677">
        <v>994</v>
      </c>
      <c r="G677">
        <v>5350</v>
      </c>
      <c r="H677" t="s">
        <v>314</v>
      </c>
      <c r="I677" t="s">
        <v>26</v>
      </c>
      <c r="J677">
        <v>0.85</v>
      </c>
      <c r="K677">
        <v>-0.1650566988660227</v>
      </c>
      <c r="L677">
        <v>-1.5056698866022679E-2</v>
      </c>
    </row>
    <row r="678" spans="1:13" x14ac:dyDescent="0.3">
      <c r="A678" s="1">
        <v>499872</v>
      </c>
      <c r="B678" s="4">
        <v>41502</v>
      </c>
      <c r="C678">
        <v>205</v>
      </c>
      <c r="D678">
        <v>205</v>
      </c>
      <c r="E678">
        <v>205</v>
      </c>
      <c r="F678">
        <v>205</v>
      </c>
      <c r="G678">
        <v>3000</v>
      </c>
      <c r="H678" t="s">
        <v>315</v>
      </c>
      <c r="I678" t="s">
        <v>26</v>
      </c>
      <c r="J678">
        <v>0.85</v>
      </c>
      <c r="K678">
        <v>-0.16818827348346521</v>
      </c>
      <c r="L678">
        <v>-1.8188273483465189E-2</v>
      </c>
      <c r="M678" t="s">
        <v>331</v>
      </c>
    </row>
    <row r="679" spans="1:13" x14ac:dyDescent="0.3">
      <c r="A679" s="1">
        <v>500911</v>
      </c>
      <c r="B679" s="6">
        <v>45315</v>
      </c>
      <c r="C679" s="7">
        <v>13850</v>
      </c>
      <c r="D679" s="7">
        <v>13850</v>
      </c>
      <c r="E679" s="7">
        <v>13400</v>
      </c>
      <c r="F679" s="7">
        <v>13489</v>
      </c>
      <c r="G679" s="7">
        <v>3494</v>
      </c>
      <c r="H679" s="7" t="s">
        <v>315</v>
      </c>
      <c r="I679" s="7" t="s">
        <v>26</v>
      </c>
      <c r="J679" s="7">
        <v>0.85</v>
      </c>
      <c r="K679" s="7">
        <v>-0.50065707886797339</v>
      </c>
      <c r="L679" s="7">
        <v>-0.35065707886797343</v>
      </c>
      <c r="M679" s="7" t="s">
        <v>329</v>
      </c>
    </row>
    <row r="680" spans="1:13" x14ac:dyDescent="0.3">
      <c r="A680" s="1">
        <v>501777</v>
      </c>
      <c r="B680" s="4">
        <v>44539</v>
      </c>
      <c r="C680">
        <v>1146</v>
      </c>
      <c r="D680">
        <v>1154</v>
      </c>
      <c r="E680">
        <v>1127.5</v>
      </c>
      <c r="F680">
        <v>1132</v>
      </c>
      <c r="G680">
        <v>228</v>
      </c>
      <c r="H680" t="s">
        <v>316</v>
      </c>
      <c r="I680" t="s">
        <v>26</v>
      </c>
      <c r="J680">
        <v>0.85</v>
      </c>
      <c r="K680">
        <v>-0.27435897435897438</v>
      </c>
      <c r="L680">
        <v>-0.1243589743589744</v>
      </c>
    </row>
    <row r="681" spans="1:13" x14ac:dyDescent="0.3">
      <c r="A681" s="1">
        <v>501791</v>
      </c>
      <c r="B681" s="4">
        <v>44614</v>
      </c>
      <c r="C681">
        <v>1023</v>
      </c>
      <c r="D681">
        <v>1023</v>
      </c>
      <c r="E681">
        <v>994</v>
      </c>
      <c r="F681">
        <v>994</v>
      </c>
      <c r="G681">
        <v>5</v>
      </c>
      <c r="H681" t="s">
        <v>316</v>
      </c>
      <c r="I681" t="s">
        <v>26</v>
      </c>
      <c r="J681">
        <v>0.85</v>
      </c>
      <c r="K681">
        <v>-0.1957928802588996</v>
      </c>
      <c r="L681">
        <v>-4.5792880258899597E-2</v>
      </c>
    </row>
    <row r="682" spans="1:13" x14ac:dyDescent="0.3">
      <c r="A682" s="1">
        <v>501796</v>
      </c>
      <c r="B682" s="4">
        <v>44634</v>
      </c>
      <c r="C682">
        <v>654.5</v>
      </c>
      <c r="D682">
        <v>654.5</v>
      </c>
      <c r="E682">
        <v>654.5</v>
      </c>
      <c r="F682">
        <v>654.5</v>
      </c>
      <c r="G682">
        <v>2</v>
      </c>
      <c r="H682" t="s">
        <v>316</v>
      </c>
      <c r="I682" t="s">
        <v>26</v>
      </c>
      <c r="J682">
        <v>0.85</v>
      </c>
      <c r="K682">
        <v>-0.165710643722116</v>
      </c>
      <c r="L682">
        <v>-1.571064372211595E-2</v>
      </c>
    </row>
    <row r="683" spans="1:13" x14ac:dyDescent="0.3">
      <c r="A683" s="1">
        <v>501859</v>
      </c>
      <c r="B683" s="4">
        <v>44848</v>
      </c>
      <c r="C683">
        <v>739</v>
      </c>
      <c r="D683">
        <v>739.5</v>
      </c>
      <c r="E683">
        <v>710</v>
      </c>
      <c r="F683">
        <v>719</v>
      </c>
      <c r="G683">
        <v>312</v>
      </c>
      <c r="H683" t="s">
        <v>316</v>
      </c>
      <c r="I683" t="s">
        <v>26</v>
      </c>
      <c r="J683">
        <v>0.85</v>
      </c>
      <c r="K683">
        <v>-0.15511163337250289</v>
      </c>
      <c r="L683">
        <v>-5.1116333725028662E-3</v>
      </c>
    </row>
    <row r="684" spans="1:13" x14ac:dyDescent="0.3">
      <c r="A684" s="1">
        <v>502062</v>
      </c>
      <c r="B684" s="4">
        <v>45257</v>
      </c>
      <c r="C684">
        <v>2100</v>
      </c>
      <c r="D684">
        <v>2149</v>
      </c>
      <c r="E684">
        <v>1700</v>
      </c>
      <c r="F684">
        <v>1725</v>
      </c>
      <c r="G684">
        <v>3339</v>
      </c>
      <c r="H684" t="s">
        <v>316</v>
      </c>
      <c r="I684" t="s">
        <v>26</v>
      </c>
      <c r="J684">
        <v>0.85</v>
      </c>
      <c r="K684">
        <v>-0.1785714285714286</v>
      </c>
      <c r="L684">
        <v>-2.8571428571428581E-2</v>
      </c>
    </row>
    <row r="685" spans="1:13" x14ac:dyDescent="0.3">
      <c r="A685" s="1">
        <v>504044</v>
      </c>
      <c r="B685" s="6">
        <v>44126</v>
      </c>
      <c r="C685" s="7">
        <v>4370</v>
      </c>
      <c r="D685" s="7">
        <v>4507</v>
      </c>
      <c r="E685" s="7">
        <v>4280</v>
      </c>
      <c r="F685" s="7">
        <v>4492</v>
      </c>
      <c r="G685" s="7">
        <v>19016</v>
      </c>
      <c r="H685" s="7" t="s">
        <v>317</v>
      </c>
      <c r="I685" s="7" t="s">
        <v>12</v>
      </c>
      <c r="J685" s="7">
        <v>0.7</v>
      </c>
      <c r="K685" s="7">
        <v>-0.48586471328831399</v>
      </c>
      <c r="L685" s="7">
        <v>-0.185864713288314</v>
      </c>
      <c r="M685" s="7" t="s">
        <v>329</v>
      </c>
    </row>
    <row r="686" spans="1:13" x14ac:dyDescent="0.3">
      <c r="A686" s="1">
        <v>504821</v>
      </c>
      <c r="B686" s="6">
        <v>45315</v>
      </c>
      <c r="C686" s="7">
        <v>12006</v>
      </c>
      <c r="D686" s="7">
        <v>12006</v>
      </c>
      <c r="E686" s="7">
        <v>11500</v>
      </c>
      <c r="F686" s="7">
        <v>11644.5</v>
      </c>
      <c r="G686" s="7">
        <v>5431</v>
      </c>
      <c r="H686" s="7" t="s">
        <v>317</v>
      </c>
      <c r="I686" s="7" t="s">
        <v>26</v>
      </c>
      <c r="J686" s="7">
        <v>0.85</v>
      </c>
      <c r="K686" s="7">
        <v>-0.6654023533468385</v>
      </c>
      <c r="L686" s="7">
        <v>-0.51540235334683848</v>
      </c>
      <c r="M686" s="7" t="s">
        <v>329</v>
      </c>
    </row>
    <row r="687" spans="1:13" x14ac:dyDescent="0.3">
      <c r="A687" s="1">
        <v>504842</v>
      </c>
      <c r="B687" s="4">
        <v>45348</v>
      </c>
      <c r="C687">
        <v>3617</v>
      </c>
      <c r="D687">
        <v>4375</v>
      </c>
      <c r="E687">
        <v>3385</v>
      </c>
      <c r="F687">
        <v>3620.5</v>
      </c>
      <c r="G687">
        <v>69782</v>
      </c>
      <c r="H687" t="s">
        <v>317</v>
      </c>
      <c r="I687" t="s">
        <v>26</v>
      </c>
      <c r="J687">
        <v>0.85</v>
      </c>
      <c r="K687">
        <v>-0.66637486177663097</v>
      </c>
      <c r="L687">
        <v>-0.51637486177663094</v>
      </c>
      <c r="M687" t="s">
        <v>329</v>
      </c>
    </row>
    <row r="688" spans="1:13" x14ac:dyDescent="0.3">
      <c r="A688" s="1">
        <v>504901</v>
      </c>
      <c r="B688" s="4">
        <v>41380</v>
      </c>
      <c r="C688">
        <v>48.5</v>
      </c>
      <c r="D688">
        <v>48.5</v>
      </c>
      <c r="E688">
        <v>48.5</v>
      </c>
      <c r="F688">
        <v>48.5</v>
      </c>
      <c r="G688">
        <v>600</v>
      </c>
      <c r="H688" t="s">
        <v>318</v>
      </c>
      <c r="I688" t="s">
        <v>26</v>
      </c>
      <c r="J688">
        <v>0.85</v>
      </c>
      <c r="K688">
        <v>-0.16809605488850771</v>
      </c>
      <c r="L688">
        <v>-1.8096054888507629E-2</v>
      </c>
      <c r="M688" t="s">
        <v>331</v>
      </c>
    </row>
    <row r="689" spans="1:13" x14ac:dyDescent="0.3">
      <c r="A689" s="1">
        <v>504907</v>
      </c>
      <c r="B689" s="4">
        <v>42865</v>
      </c>
      <c r="C689">
        <v>110</v>
      </c>
      <c r="D689">
        <v>110</v>
      </c>
      <c r="E689">
        <v>110</v>
      </c>
      <c r="F689">
        <v>110</v>
      </c>
      <c r="G689">
        <v>4860</v>
      </c>
      <c r="H689" t="s">
        <v>318</v>
      </c>
      <c r="I689" t="s">
        <v>26</v>
      </c>
      <c r="J689">
        <v>0.85</v>
      </c>
      <c r="K689">
        <v>-0.25725860904794051</v>
      </c>
      <c r="L689">
        <v>-0.1072586090479405</v>
      </c>
      <c r="M689" t="s">
        <v>331</v>
      </c>
    </row>
    <row r="690" spans="1:13" x14ac:dyDescent="0.3">
      <c r="A690" s="1">
        <v>504931</v>
      </c>
      <c r="B690" s="4">
        <v>43896</v>
      </c>
      <c r="C690">
        <v>200</v>
      </c>
      <c r="D690">
        <v>200</v>
      </c>
      <c r="E690">
        <v>200</v>
      </c>
      <c r="F690">
        <v>200</v>
      </c>
      <c r="G690">
        <v>9</v>
      </c>
      <c r="H690" t="s">
        <v>318</v>
      </c>
      <c r="I690" t="s">
        <v>26</v>
      </c>
      <c r="J690">
        <v>0.85</v>
      </c>
      <c r="K690">
        <v>-0.21875</v>
      </c>
      <c r="L690">
        <v>-6.8749999999999978E-2</v>
      </c>
    </row>
    <row r="691" spans="1:13" x14ac:dyDescent="0.3">
      <c r="A691" s="1">
        <v>504933</v>
      </c>
      <c r="B691" s="4">
        <v>43902</v>
      </c>
      <c r="C691">
        <v>155</v>
      </c>
      <c r="D691">
        <v>165</v>
      </c>
      <c r="E691">
        <v>155</v>
      </c>
      <c r="F691">
        <v>165</v>
      </c>
      <c r="G691">
        <v>615</v>
      </c>
      <c r="H691" t="s">
        <v>318</v>
      </c>
      <c r="I691" t="s">
        <v>26</v>
      </c>
      <c r="J691">
        <v>0.85</v>
      </c>
      <c r="K691">
        <v>-0.15384615384615391</v>
      </c>
      <c r="L691">
        <v>-3.8461538461538321E-3</v>
      </c>
    </row>
    <row r="692" spans="1:13" x14ac:dyDescent="0.3">
      <c r="A692" s="1">
        <v>504937</v>
      </c>
      <c r="B692" s="4">
        <v>43908</v>
      </c>
      <c r="C692">
        <v>143.25</v>
      </c>
      <c r="D692">
        <v>147.5</v>
      </c>
      <c r="E692">
        <v>139.5</v>
      </c>
      <c r="F692">
        <v>140</v>
      </c>
      <c r="G692">
        <v>240</v>
      </c>
      <c r="H692" t="s">
        <v>318</v>
      </c>
      <c r="I692" t="s">
        <v>26</v>
      </c>
      <c r="J692">
        <v>0.85</v>
      </c>
      <c r="K692">
        <v>-0.2090395480225988</v>
      </c>
      <c r="L692">
        <v>-5.9039548022598809E-2</v>
      </c>
    </row>
    <row r="693" spans="1:13" x14ac:dyDescent="0.3">
      <c r="A693" s="1">
        <v>504990</v>
      </c>
      <c r="B693" s="4">
        <v>43993</v>
      </c>
      <c r="C693">
        <v>388.5</v>
      </c>
      <c r="D693">
        <v>388.5</v>
      </c>
      <c r="E693">
        <v>318.5</v>
      </c>
      <c r="F693">
        <v>335.5</v>
      </c>
      <c r="G693">
        <v>6102</v>
      </c>
      <c r="H693" t="s">
        <v>318</v>
      </c>
      <c r="I693" t="s">
        <v>26</v>
      </c>
      <c r="J693">
        <v>0.85</v>
      </c>
      <c r="K693">
        <v>-0.17970660146699269</v>
      </c>
      <c r="L693">
        <v>-2.9706601466992669E-2</v>
      </c>
    </row>
    <row r="694" spans="1:13" x14ac:dyDescent="0.3">
      <c r="A694" s="1">
        <v>509121</v>
      </c>
      <c r="B694" s="6">
        <v>45315</v>
      </c>
      <c r="C694" s="7">
        <v>12575</v>
      </c>
      <c r="D694" s="7">
        <v>13000</v>
      </c>
      <c r="E694" s="7">
        <v>12221</v>
      </c>
      <c r="F694" s="7">
        <v>12941.5</v>
      </c>
      <c r="G694" s="7">
        <v>4832</v>
      </c>
      <c r="H694" s="7" t="s">
        <v>319</v>
      </c>
      <c r="I694" s="7" t="s">
        <v>26</v>
      </c>
      <c r="J694" s="7">
        <v>0.85</v>
      </c>
      <c r="K694" s="7">
        <v>-0.48407351299633228</v>
      </c>
      <c r="L694" s="7">
        <v>-0.33407351299633231</v>
      </c>
      <c r="M694" s="7" t="s">
        <v>329</v>
      </c>
    </row>
    <row r="695" spans="1:13" x14ac:dyDescent="0.3">
      <c r="A695" s="1">
        <v>509365</v>
      </c>
      <c r="B695" s="4">
        <v>44974</v>
      </c>
      <c r="C695">
        <v>1447</v>
      </c>
      <c r="D695">
        <v>1447</v>
      </c>
      <c r="E695">
        <v>1154</v>
      </c>
      <c r="F695">
        <v>1201</v>
      </c>
      <c r="G695">
        <v>38077</v>
      </c>
      <c r="H695" t="s">
        <v>320</v>
      </c>
      <c r="I695" t="s">
        <v>26</v>
      </c>
      <c r="J695">
        <v>0.85</v>
      </c>
      <c r="K695">
        <v>-0.18796484110885739</v>
      </c>
      <c r="L695">
        <v>-3.7964841108857339E-2</v>
      </c>
    </row>
    <row r="696" spans="1:13" x14ac:dyDescent="0.3">
      <c r="A696" s="1">
        <v>509855</v>
      </c>
      <c r="B696" s="4">
        <v>43909</v>
      </c>
      <c r="C696">
        <v>4875</v>
      </c>
      <c r="D696">
        <v>4875</v>
      </c>
      <c r="E696">
        <v>4875</v>
      </c>
      <c r="F696">
        <v>4875</v>
      </c>
      <c r="G696">
        <v>2000</v>
      </c>
      <c r="H696" t="s">
        <v>321</v>
      </c>
      <c r="I696" t="s">
        <v>15</v>
      </c>
      <c r="J696">
        <v>0.8</v>
      </c>
      <c r="K696">
        <v>-0.21434327155519739</v>
      </c>
      <c r="L696">
        <v>-1.4343271555197429E-2</v>
      </c>
    </row>
    <row r="697" spans="1:13" x14ac:dyDescent="0.3">
      <c r="A697" s="1">
        <v>511469</v>
      </c>
      <c r="B697" s="4">
        <v>45222</v>
      </c>
      <c r="C697">
        <v>88000</v>
      </c>
      <c r="D697">
        <v>88000</v>
      </c>
      <c r="E697">
        <v>73500</v>
      </c>
      <c r="F697">
        <v>74700</v>
      </c>
      <c r="G697">
        <v>389885</v>
      </c>
      <c r="H697" t="s">
        <v>322</v>
      </c>
      <c r="I697" t="s">
        <v>25</v>
      </c>
      <c r="J697">
        <v>0.85</v>
      </c>
      <c r="K697">
        <v>-0.15783540022547909</v>
      </c>
      <c r="L697">
        <v>-7.8354002254791277E-3</v>
      </c>
    </row>
    <row r="698" spans="1:13" x14ac:dyDescent="0.3">
      <c r="A698" s="1">
        <v>511609</v>
      </c>
      <c r="B698" s="4">
        <v>44295</v>
      </c>
      <c r="C698">
        <v>8300</v>
      </c>
      <c r="D698">
        <v>8300</v>
      </c>
      <c r="E698">
        <v>8300</v>
      </c>
      <c r="F698">
        <v>8300</v>
      </c>
      <c r="G698">
        <v>2800</v>
      </c>
      <c r="H698" t="s">
        <v>323</v>
      </c>
      <c r="I698" t="s">
        <v>12</v>
      </c>
      <c r="J698">
        <v>0.8</v>
      </c>
      <c r="K698">
        <v>-0.24545454545454551</v>
      </c>
      <c r="L698">
        <v>-4.5454545454545532E-2</v>
      </c>
    </row>
    <row r="699" spans="1:13" x14ac:dyDescent="0.3">
      <c r="A699" s="1">
        <v>512303</v>
      </c>
      <c r="B699" s="4">
        <v>44302</v>
      </c>
      <c r="C699">
        <v>7000</v>
      </c>
      <c r="D699">
        <v>7000</v>
      </c>
      <c r="E699">
        <v>7000</v>
      </c>
      <c r="F699">
        <v>7000</v>
      </c>
      <c r="G699">
        <v>1357</v>
      </c>
      <c r="H699" t="s">
        <v>324</v>
      </c>
      <c r="I699" t="s">
        <v>12</v>
      </c>
      <c r="J699">
        <v>0.8</v>
      </c>
      <c r="K699">
        <v>-0.25531914893617019</v>
      </c>
      <c r="L699">
        <v>-5.5319148936170293E-2</v>
      </c>
    </row>
    <row r="700" spans="1:13" x14ac:dyDescent="0.3">
      <c r="A700" s="1">
        <v>514881</v>
      </c>
      <c r="B700" s="4">
        <v>44651</v>
      </c>
      <c r="C700">
        <v>12930</v>
      </c>
      <c r="D700">
        <v>13000</v>
      </c>
      <c r="E700">
        <v>12800</v>
      </c>
      <c r="F700">
        <v>12900</v>
      </c>
      <c r="G700">
        <v>38000</v>
      </c>
      <c r="H700" t="s">
        <v>325</v>
      </c>
      <c r="I700" t="s">
        <v>12</v>
      </c>
      <c r="J700">
        <v>0.8</v>
      </c>
      <c r="K700">
        <v>-0.34848484848484851</v>
      </c>
      <c r="L700">
        <v>-0.14848484848484861</v>
      </c>
      <c r="M700" t="s">
        <v>330</v>
      </c>
    </row>
    <row r="701" spans="1:13" x14ac:dyDescent="0.3">
      <c r="A701" s="1">
        <v>515121</v>
      </c>
      <c r="B701" s="4">
        <v>45016</v>
      </c>
      <c r="C701">
        <v>16300</v>
      </c>
      <c r="D701">
        <v>16300</v>
      </c>
      <c r="E701">
        <v>15900</v>
      </c>
      <c r="F701">
        <v>16000</v>
      </c>
      <c r="G701">
        <v>215000</v>
      </c>
      <c r="H701" t="s">
        <v>325</v>
      </c>
      <c r="I701" t="s">
        <v>12</v>
      </c>
      <c r="J701">
        <v>0.8</v>
      </c>
      <c r="K701">
        <v>-0.45205479452054798</v>
      </c>
      <c r="L701">
        <v>-0.25205479452054802</v>
      </c>
      <c r="M701" t="s">
        <v>330</v>
      </c>
    </row>
    <row r="702" spans="1:13" x14ac:dyDescent="0.3">
      <c r="A702" s="1">
        <v>517105</v>
      </c>
      <c r="B702" s="4">
        <v>43899</v>
      </c>
      <c r="C702">
        <v>522</v>
      </c>
      <c r="D702">
        <v>528.70000000000005</v>
      </c>
      <c r="E702">
        <v>455</v>
      </c>
      <c r="F702">
        <v>459.95</v>
      </c>
      <c r="G702">
        <v>924600</v>
      </c>
      <c r="H702" t="s">
        <v>326</v>
      </c>
      <c r="I702" t="s">
        <v>12</v>
      </c>
      <c r="J702">
        <v>0.8</v>
      </c>
      <c r="K702">
        <v>-0.23855641089313789</v>
      </c>
      <c r="L702">
        <v>-3.8556410893137993E-2</v>
      </c>
    </row>
    <row r="703" spans="1:13" x14ac:dyDescent="0.3">
      <c r="A703" s="1">
        <v>517112</v>
      </c>
      <c r="B703" s="4">
        <v>43908</v>
      </c>
      <c r="C703">
        <v>298.95</v>
      </c>
      <c r="D703">
        <v>304.5</v>
      </c>
      <c r="E703">
        <v>218.65</v>
      </c>
      <c r="F703">
        <v>235.6</v>
      </c>
      <c r="G703">
        <v>1301257</v>
      </c>
      <c r="H703" t="s">
        <v>326</v>
      </c>
      <c r="I703" t="s">
        <v>12</v>
      </c>
      <c r="J703">
        <v>0.8</v>
      </c>
      <c r="K703">
        <v>-0.25981778196669808</v>
      </c>
      <c r="L703">
        <v>-5.981778196669818E-2</v>
      </c>
    </row>
    <row r="704" spans="1:13" x14ac:dyDescent="0.3">
      <c r="A704" s="1">
        <v>518113</v>
      </c>
      <c r="B704" s="4">
        <v>44186</v>
      </c>
      <c r="C704">
        <v>2350</v>
      </c>
      <c r="D704">
        <v>2350</v>
      </c>
      <c r="E704">
        <v>2350</v>
      </c>
      <c r="F704">
        <v>2350</v>
      </c>
      <c r="G704">
        <v>1</v>
      </c>
      <c r="H704" t="s">
        <v>327</v>
      </c>
      <c r="I704" t="s">
        <v>26</v>
      </c>
      <c r="J704">
        <v>0.85</v>
      </c>
      <c r="K704">
        <v>-0.26482089785703111</v>
      </c>
      <c r="L704">
        <v>-0.1148208978570311</v>
      </c>
      <c r="M704" t="s">
        <v>331</v>
      </c>
    </row>
    <row r="705" spans="1:13" x14ac:dyDescent="0.3">
      <c r="A705" s="1">
        <v>518117</v>
      </c>
      <c r="B705" s="4">
        <v>44433</v>
      </c>
      <c r="C705">
        <v>2000</v>
      </c>
      <c r="D705">
        <v>2000</v>
      </c>
      <c r="E705">
        <v>2000</v>
      </c>
      <c r="F705">
        <v>2000</v>
      </c>
      <c r="G705">
        <v>100</v>
      </c>
      <c r="H705" t="s">
        <v>327</v>
      </c>
      <c r="I705" t="s">
        <v>26</v>
      </c>
      <c r="J705">
        <v>0.85</v>
      </c>
      <c r="K705">
        <v>-0.2857142857142857</v>
      </c>
      <c r="L705">
        <v>-0.1357142857142857</v>
      </c>
      <c r="M705" t="s">
        <v>331</v>
      </c>
    </row>
    <row r="706" spans="1:13" x14ac:dyDescent="0.3">
      <c r="A706" s="1">
        <v>518155</v>
      </c>
      <c r="B706" s="4">
        <v>44616</v>
      </c>
      <c r="C706">
        <v>1818</v>
      </c>
      <c r="D706">
        <v>1849</v>
      </c>
      <c r="E706">
        <v>1818</v>
      </c>
      <c r="F706">
        <v>1849</v>
      </c>
      <c r="G706">
        <v>6</v>
      </c>
      <c r="H706" t="s">
        <v>327</v>
      </c>
      <c r="I706" t="s">
        <v>26</v>
      </c>
      <c r="J706">
        <v>0.85</v>
      </c>
      <c r="K706">
        <v>-0.16372682044323841</v>
      </c>
      <c r="L706">
        <v>-1.372682044323836E-2</v>
      </c>
    </row>
    <row r="707" spans="1:13" x14ac:dyDescent="0.3">
      <c r="A707" s="1">
        <v>518156</v>
      </c>
      <c r="B707" s="4">
        <v>44631</v>
      </c>
      <c r="C707">
        <v>1304.5</v>
      </c>
      <c r="D707">
        <v>1304.5</v>
      </c>
      <c r="E707">
        <v>1304.5</v>
      </c>
      <c r="F707">
        <v>1304.5</v>
      </c>
      <c r="G707">
        <v>1</v>
      </c>
      <c r="H707" t="s">
        <v>327</v>
      </c>
      <c r="I707" t="s">
        <v>26</v>
      </c>
      <c r="J707">
        <v>0.85</v>
      </c>
      <c r="K707">
        <v>-0.2944835045970795</v>
      </c>
      <c r="L707">
        <v>-0.14448350459707951</v>
      </c>
    </row>
    <row r="708" spans="1:13" x14ac:dyDescent="0.3">
      <c r="A708" s="1">
        <v>518157</v>
      </c>
      <c r="B708" s="4">
        <v>44635</v>
      </c>
      <c r="C708">
        <v>951.5</v>
      </c>
      <c r="D708">
        <v>951.5</v>
      </c>
      <c r="E708">
        <v>948.5</v>
      </c>
      <c r="F708">
        <v>950</v>
      </c>
      <c r="G708">
        <v>2</v>
      </c>
      <c r="H708" t="s">
        <v>327</v>
      </c>
      <c r="I708" t="s">
        <v>26</v>
      </c>
      <c r="J708">
        <v>0.85</v>
      </c>
      <c r="K708">
        <v>-0.27175162897661942</v>
      </c>
      <c r="L708">
        <v>-0.1217516289766194</v>
      </c>
    </row>
    <row r="709" spans="1:13" x14ac:dyDescent="0.3">
      <c r="A709" s="1">
        <v>518232</v>
      </c>
      <c r="B709" s="4">
        <v>44845</v>
      </c>
      <c r="C709">
        <v>1482</v>
      </c>
      <c r="D709">
        <v>1539.5</v>
      </c>
      <c r="E709">
        <v>1480.5</v>
      </c>
      <c r="F709">
        <v>1495.5</v>
      </c>
      <c r="G709">
        <v>1502</v>
      </c>
      <c r="H709" t="s">
        <v>327</v>
      </c>
      <c r="I709" t="s">
        <v>26</v>
      </c>
      <c r="J709">
        <v>0.85</v>
      </c>
      <c r="K709">
        <v>-0.16171524663677131</v>
      </c>
      <c r="L709">
        <v>-1.1715246636771259E-2</v>
      </c>
    </row>
    <row r="710" spans="1:13" x14ac:dyDescent="0.3">
      <c r="A710" s="1">
        <v>518732</v>
      </c>
      <c r="B710" s="4">
        <v>44439</v>
      </c>
      <c r="C710">
        <v>1245</v>
      </c>
      <c r="D710">
        <v>1245</v>
      </c>
      <c r="E710">
        <v>1078.5</v>
      </c>
      <c r="F710">
        <v>1096.5</v>
      </c>
      <c r="G710">
        <v>71973</v>
      </c>
      <c r="H710" t="s">
        <v>328</v>
      </c>
      <c r="I710" t="s">
        <v>26</v>
      </c>
      <c r="J710">
        <v>0.85</v>
      </c>
      <c r="K710">
        <v>-0.16393442622950821</v>
      </c>
      <c r="L710">
        <v>-1.3934426229508129E-2</v>
      </c>
    </row>
    <row r="711" spans="1:13" x14ac:dyDescent="0.3">
      <c r="A711" s="1">
        <v>518784</v>
      </c>
      <c r="B711" s="4">
        <v>44523</v>
      </c>
      <c r="C711">
        <v>1088</v>
      </c>
      <c r="D711">
        <v>1088</v>
      </c>
      <c r="E711">
        <v>901</v>
      </c>
      <c r="F711">
        <v>937.5</v>
      </c>
      <c r="G711">
        <v>27897</v>
      </c>
      <c r="H711" t="s">
        <v>328</v>
      </c>
      <c r="I711" t="s">
        <v>26</v>
      </c>
      <c r="J711">
        <v>0.85</v>
      </c>
      <c r="K711">
        <v>-0.18725617685305601</v>
      </c>
      <c r="L711">
        <v>-3.7256176853055933E-2</v>
      </c>
    </row>
    <row r="712" spans="1:13" x14ac:dyDescent="0.3">
      <c r="A712" s="1">
        <v>518960</v>
      </c>
      <c r="B712" s="4">
        <v>44796</v>
      </c>
      <c r="C712">
        <v>599</v>
      </c>
      <c r="D712">
        <v>599</v>
      </c>
      <c r="E712">
        <v>520</v>
      </c>
      <c r="F712">
        <v>521</v>
      </c>
      <c r="G712">
        <v>62103</v>
      </c>
      <c r="H712" t="s">
        <v>328</v>
      </c>
      <c r="I712" t="s">
        <v>26</v>
      </c>
      <c r="J712">
        <v>0.85</v>
      </c>
      <c r="K712">
        <v>-0.1630522088353413</v>
      </c>
      <c r="L712">
        <v>-1.3052208835341309E-2</v>
      </c>
    </row>
    <row r="713" spans="1:13" x14ac:dyDescent="0.3">
      <c r="A713" s="8">
        <v>330487</v>
      </c>
      <c r="B713" s="4">
        <v>45453</v>
      </c>
      <c r="C713">
        <v>6599</v>
      </c>
      <c r="D713">
        <v>6790</v>
      </c>
      <c r="E713">
        <v>6460</v>
      </c>
      <c r="F713">
        <v>6651.5</v>
      </c>
      <c r="G713">
        <v>548371</v>
      </c>
      <c r="H713" t="s">
        <v>206</v>
      </c>
      <c r="I713" s="9">
        <v>1000000000</v>
      </c>
      <c r="J713">
        <v>0.85</v>
      </c>
      <c r="K713">
        <v>0.15</v>
      </c>
      <c r="L713">
        <v>-1.3052208835341309E-2</v>
      </c>
      <c r="M713" t="s">
        <v>329</v>
      </c>
    </row>
  </sheetData>
  <autoFilter ref="A1:M712" xr:uid="{00000000-0001-0000-0000-000000000000}">
    <sortState xmlns:xlrd2="http://schemas.microsoft.com/office/spreadsheetml/2017/richdata2" ref="A2:M712">
      <sortCondition ref="H1:H712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Martínez</cp:lastModifiedBy>
  <dcterms:created xsi:type="dcterms:W3CDTF">2024-06-19T22:32:58Z</dcterms:created>
  <dcterms:modified xsi:type="dcterms:W3CDTF">2025-04-06T22:19:30Z</dcterms:modified>
</cp:coreProperties>
</file>